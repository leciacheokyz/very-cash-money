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09"/>
  <workbookPr/>
  <mc:AlternateContent xmlns:mc="http://schemas.openxmlformats.org/markup-compatibility/2006">
    <mc:Choice Requires="x15">
      <x15ac:absPath xmlns:x15ac="http://schemas.microsoft.com/office/spreadsheetml/2010/11/ac" url="https://nusu.sharepoint.com/sites/IEProjectGroup7/Shared Documents/General/IE2111 - Group 2/"/>
    </mc:Choice>
  </mc:AlternateContent>
  <xr:revisionPtr revIDLastSave="28341" documentId="11_23670CB76F4A312F20B48F72D1951049484F5E8D" xr6:coauthVersionLast="47" xr6:coauthVersionMax="47" xr10:uidLastSave="{2F1CD87E-49C7-43B8-999D-DC767639AB10}"/>
  <bookViews>
    <workbookView xWindow="11415" yWindow="0" windowWidth="11730" windowHeight="14745" activeTab="2" xr2:uid="{00000000-000D-0000-FFFF-FFFF00000000}"/>
  </bookViews>
  <sheets>
    <sheet name="Alt 1 - Conventional System" sheetId="58" r:id="rId1"/>
    <sheet name="Alt 1 - Tornado Chart" sheetId="48" r:id="rId2"/>
    <sheet name="Alt 2 - Self-checkout System" sheetId="49" r:id="rId3"/>
    <sheet name="Alt 2 - Tornado Chart" sheetId="56" r:id="rId4"/>
    <sheet name="Alt 3 - Checkout-free System" sheetId="3" r:id="rId5"/>
    <sheet name="Alt 3 - Tornado Chart" sheetId="46" r:id="rId6"/>
    <sheet name="One-Way Sensitivity Analysis" sheetId="18" r:id="rId7"/>
    <sheet name="Break-Even Analysis" sheetId="57" r:id="rId8"/>
  </sheets>
  <definedNames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CorrelationEnabledState" hidden="1">1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-1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Pal_Workbook_GUID" hidden="1">"AD799IKNMFFNC6RXW3VVDCHD"</definedName>
    <definedName name="_xlnm.Print_Area" localSheetId="1">'Alt 1 - Tornado Chart'!$A$1:$I$40</definedName>
    <definedName name="_xlnm.Print_Area" localSheetId="3">'Alt 2 - Tornado Chart'!$A$1:$I$40</definedName>
    <definedName name="_xlnm.Print_Area" localSheetId="5">'Alt 3 - Tornado Chart'!$A$1:$I$40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SensItManyInOneOutRefEditBaseCase" localSheetId="6" hidden="1">'One-Way Sensitivity Analysis'!$G$40:$G$47</definedName>
    <definedName name="SensItManyInOneOutRefEditInputLabels" localSheetId="6" hidden="1">'One-Way Sensitivity Analysis'!$B$40:$B$46</definedName>
    <definedName name="SensItManyInOneOutRefEditInputValues" localSheetId="6" hidden="1">'One-Way Sensitivity Analysis'!$D$40:$D$46</definedName>
    <definedName name="SensItManyInOneOutRefEditOneExtreme" localSheetId="6" hidden="1">'One-Way Sensitivity Analysis'!$F$40:$F$47</definedName>
    <definedName name="SensItManyInOneOutRefEditOtherExtreme" localSheetId="6" hidden="1">'One-Way Sensitivity Analysis'!$H$40:$H$47</definedName>
    <definedName name="SensItManyInOneOutRefEditOutputLabel" localSheetId="6" hidden="1">'One-Way Sensitivity Analysis'!$B$49</definedName>
    <definedName name="SensItManyInOneOutRefEditOutputValue" localSheetId="6" hidden="1">'One-Way Sensitivity Analysis'!$C$49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8" i="57" l="1"/>
  <c r="AN9" i="57"/>
  <c r="AN10" i="57"/>
  <c r="AN11" i="57"/>
  <c r="AN12" i="57"/>
  <c r="AN13" i="57"/>
  <c r="AN7" i="57"/>
  <c r="AM7" i="57"/>
  <c r="D28" i="3"/>
  <c r="D29" i="3"/>
  <c r="W9" i="57"/>
  <c r="W10" i="57"/>
  <c r="W11" i="57" s="1"/>
  <c r="W12" i="57" s="1"/>
  <c r="W13" i="57" s="1"/>
  <c r="W14" i="57" s="1"/>
  <c r="W15" i="57" s="1"/>
  <c r="W16" i="57" s="1"/>
  <c r="Y8" i="57"/>
  <c r="Y9" i="57"/>
  <c r="Y10" i="57"/>
  <c r="Y11" i="57"/>
  <c r="Y12" i="57"/>
  <c r="Y13" i="57"/>
  <c r="Y14" i="57"/>
  <c r="Y15" i="57"/>
  <c r="Y16" i="57"/>
  <c r="Y7" i="57"/>
  <c r="D9" i="58"/>
  <c r="D20" i="58" s="1"/>
  <c r="D19" i="58"/>
  <c r="R8" i="57"/>
  <c r="R9" i="57"/>
  <c r="R10" i="57"/>
  <c r="R11" i="57"/>
  <c r="R12" i="57"/>
  <c r="R13" i="57"/>
  <c r="R7" i="57"/>
  <c r="D26" i="3"/>
  <c r="D8" i="57"/>
  <c r="D9" i="57"/>
  <c r="D10" i="57"/>
  <c r="D11" i="57"/>
  <c r="D12" i="57"/>
  <c r="D13" i="57"/>
  <c r="D14" i="57"/>
  <c r="D15" i="57"/>
  <c r="D16" i="57"/>
  <c r="D7" i="57"/>
  <c r="D31" i="49"/>
  <c r="D17" i="58"/>
  <c r="D24" i="58" s="1"/>
  <c r="D33" i="18"/>
  <c r="D68" i="18"/>
  <c r="F55" i="18"/>
  <c r="E56" i="18"/>
  <c r="F56" i="18"/>
  <c r="D56" i="18"/>
  <c r="E57" i="18"/>
  <c r="F57" i="18"/>
  <c r="D57" i="18"/>
  <c r="E58" i="18"/>
  <c r="F58" i="18"/>
  <c r="D58" i="18"/>
  <c r="E59" i="18"/>
  <c r="F59" i="18"/>
  <c r="D59" i="18"/>
  <c r="E22" i="49"/>
  <c r="D22" i="49"/>
  <c r="C22" i="49"/>
  <c r="E16" i="49"/>
  <c r="E17" i="49"/>
  <c r="C17" i="49"/>
  <c r="E21" i="49"/>
  <c r="D16" i="49"/>
  <c r="C16" i="49"/>
  <c r="E21" i="58"/>
  <c r="C21" i="58"/>
  <c r="D10" i="58"/>
  <c r="D21" i="58" s="1"/>
  <c r="E8" i="58"/>
  <c r="E17" i="58" s="1"/>
  <c r="E24" i="58" s="1"/>
  <c r="C8" i="58"/>
  <c r="C17" i="58" s="1"/>
  <c r="C24" i="58" s="1"/>
  <c r="E23" i="58"/>
  <c r="C23" i="58"/>
  <c r="E5" i="58"/>
  <c r="E22" i="58" s="1"/>
  <c r="D5" i="58"/>
  <c r="D22" i="58" s="1"/>
  <c r="C5" i="58"/>
  <c r="C22" i="58" s="1"/>
  <c r="E20" i="58"/>
  <c r="C20" i="58"/>
  <c r="AL8" i="57"/>
  <c r="AL9" i="57" s="1"/>
  <c r="AL10" i="57" s="1"/>
  <c r="AL11" i="57" s="1"/>
  <c r="AL12" i="57" s="1"/>
  <c r="AL13" i="57" s="1"/>
  <c r="D23" i="58" l="1"/>
  <c r="D8" i="58"/>
  <c r="E18" i="58"/>
  <c r="C18" i="58"/>
  <c r="D18" i="58"/>
  <c r="D35" i="58" s="1"/>
  <c r="C36" i="58"/>
  <c r="AD8" i="57"/>
  <c r="AD9" i="57" s="1"/>
  <c r="AD10" i="57" s="1"/>
  <c r="AD11" i="57" s="1"/>
  <c r="AD12" i="57" s="1"/>
  <c r="AD13" i="57" s="1"/>
  <c r="AD14" i="57" s="1"/>
  <c r="AD15" i="57" s="1"/>
  <c r="AD16" i="57" s="1"/>
  <c r="AD17" i="57" s="1"/>
  <c r="AD18" i="57" s="1"/>
  <c r="AD19" i="57" s="1"/>
  <c r="AD20" i="57" s="1"/>
  <c r="W8" i="57"/>
  <c r="P8" i="57"/>
  <c r="P9" i="57" s="1"/>
  <c r="P10" i="57" s="1"/>
  <c r="P11" i="57" s="1"/>
  <c r="P12" i="57" s="1"/>
  <c r="P13" i="57" s="1"/>
  <c r="I8" i="57"/>
  <c r="I9" i="57" s="1"/>
  <c r="I10" i="57" s="1"/>
  <c r="I11" i="57" s="1"/>
  <c r="I12" i="57" s="1"/>
  <c r="I13" i="57" s="1"/>
  <c r="B8" i="57"/>
  <c r="B9" i="57" s="1"/>
  <c r="B10" i="57" s="1"/>
  <c r="B11" i="57" s="1"/>
  <c r="B12" i="57" s="1"/>
  <c r="B13" i="57" s="1"/>
  <c r="B14" i="57" s="1"/>
  <c r="B15" i="57" s="1"/>
  <c r="B16" i="57" s="1"/>
  <c r="E33" i="3"/>
  <c r="C33" i="3"/>
  <c r="C32" i="3"/>
  <c r="E32" i="3"/>
  <c r="E31" i="3"/>
  <c r="C30" i="3"/>
  <c r="D30" i="3"/>
  <c r="E30" i="3"/>
  <c r="C29" i="3"/>
  <c r="C33" i="58" l="1"/>
  <c r="D33" i="58"/>
  <c r="C35" i="58"/>
  <c r="E35" i="58" s="1"/>
  <c r="F35" i="58" s="1"/>
  <c r="G35" i="58" s="1"/>
  <c r="H35" i="58" s="1"/>
  <c r="C34" i="58"/>
  <c r="D34" i="58"/>
  <c r="C32" i="58"/>
  <c r="G32" i="58" s="1"/>
  <c r="F36" i="58"/>
  <c r="G36" i="58" s="1"/>
  <c r="H36" i="58" s="1"/>
  <c r="E36" i="58"/>
  <c r="D32" i="3"/>
  <c r="C42" i="3" s="1"/>
  <c r="D33" i="3"/>
  <c r="C45" i="3" s="1"/>
  <c r="C27" i="3"/>
  <c r="E33" i="58" l="1"/>
  <c r="F33" i="58" s="1"/>
  <c r="G33" i="58" s="1"/>
  <c r="E34" i="58"/>
  <c r="F34" i="58" s="1"/>
  <c r="G34" i="58" s="1"/>
  <c r="H34" i="58" s="1"/>
  <c r="H32" i="58"/>
  <c r="D27" i="3"/>
  <c r="C41" i="3" s="1"/>
  <c r="E27" i="3"/>
  <c r="C34" i="49"/>
  <c r="D8" i="49"/>
  <c r="C21" i="49"/>
  <c r="E20" i="49"/>
  <c r="C20" i="49"/>
  <c r="D5" i="49"/>
  <c r="D20" i="49" s="1"/>
  <c r="E18" i="49"/>
  <c r="C18" i="49"/>
  <c r="D21" i="49" l="1"/>
  <c r="D18" i="49"/>
  <c r="D17" i="49"/>
  <c r="H33" i="58"/>
  <c r="H38" i="58" s="1"/>
  <c r="D42" i="3"/>
  <c r="E42" i="3" s="1"/>
  <c r="C30" i="49"/>
  <c r="F34" i="49"/>
  <c r="G34" i="49" s="1"/>
  <c r="H34" i="49" s="1"/>
  <c r="E34" i="49"/>
  <c r="AF7" i="57" l="1"/>
  <c r="AF8" i="57"/>
  <c r="AF16" i="57"/>
  <c r="AF9" i="57"/>
  <c r="AF17" i="57"/>
  <c r="AF10" i="57"/>
  <c r="AF18" i="57"/>
  <c r="AF11" i="57"/>
  <c r="AF19" i="57"/>
  <c r="AF12" i="57"/>
  <c r="AF20" i="57"/>
  <c r="AF13" i="57"/>
  <c r="AF14" i="57"/>
  <c r="AF15" i="57"/>
  <c r="X7" i="57"/>
  <c r="C7" i="57"/>
  <c r="K9" i="57"/>
  <c r="K13" i="57"/>
  <c r="K8" i="57"/>
  <c r="K10" i="57"/>
  <c r="K11" i="57"/>
  <c r="K12" i="57"/>
  <c r="K7" i="57"/>
  <c r="H39" i="58"/>
  <c r="F42" i="3"/>
  <c r="G42" i="3" s="1"/>
  <c r="H42" i="3" s="1"/>
  <c r="D33" i="49"/>
  <c r="D32" i="49"/>
  <c r="G30" i="49"/>
  <c r="H30" i="49" s="1"/>
  <c r="C32" i="49"/>
  <c r="C31" i="49"/>
  <c r="C33" i="49"/>
  <c r="E31" i="49" l="1"/>
  <c r="F31" i="49" s="1"/>
  <c r="G31" i="49" s="1"/>
  <c r="H31" i="49" s="1"/>
  <c r="E32" i="49"/>
  <c r="F32" i="49" s="1"/>
  <c r="G32" i="49" s="1"/>
  <c r="H32" i="49" s="1"/>
  <c r="E33" i="49"/>
  <c r="F33" i="49" s="1"/>
  <c r="G33" i="49" s="1"/>
  <c r="H33" i="49" s="1"/>
  <c r="H36" i="49" l="1"/>
  <c r="H37" i="49" l="1"/>
  <c r="C20" i="18"/>
  <c r="F26" i="18" s="1"/>
  <c r="E23" i="18"/>
  <c r="F23" i="18"/>
  <c r="E22" i="18"/>
  <c r="F22" i="18"/>
  <c r="D23" i="18"/>
  <c r="D22" i="18"/>
  <c r="E24" i="18"/>
  <c r="F24" i="18"/>
  <c r="D24" i="18"/>
  <c r="F94" i="18"/>
  <c r="E94" i="18"/>
  <c r="D94" i="18"/>
  <c r="E96" i="18"/>
  <c r="F96" i="18"/>
  <c r="D96" i="18"/>
  <c r="F93" i="18"/>
  <c r="E93" i="18"/>
  <c r="D93" i="18"/>
  <c r="F91" i="18"/>
  <c r="E91" i="18"/>
  <c r="D91" i="18"/>
  <c r="D103" i="18"/>
  <c r="C90" i="18"/>
  <c r="F42" i="18"/>
  <c r="H42" i="18"/>
  <c r="F90" i="18"/>
  <c r="C55" i="18"/>
  <c r="C64" i="18" s="1"/>
  <c r="C66" i="18" s="1"/>
  <c r="E26" i="18" l="1"/>
  <c r="D26" i="18"/>
  <c r="D60" i="18"/>
  <c r="E60" i="18"/>
  <c r="D95" i="18"/>
  <c r="D97" i="18" s="1"/>
  <c r="D98" i="18" s="1"/>
  <c r="F95" i="18"/>
  <c r="D61" i="18"/>
  <c r="F60" i="18"/>
  <c r="C99" i="18"/>
  <c r="F61" i="18"/>
  <c r="E61" i="18"/>
  <c r="C101" i="18" l="1"/>
  <c r="F97" i="18"/>
  <c r="F98" i="18" s="1"/>
  <c r="E95" i="18"/>
  <c r="F62" i="18"/>
  <c r="F63" i="18" s="1"/>
  <c r="D62" i="18"/>
  <c r="D63" i="18" s="1"/>
  <c r="E62" i="18"/>
  <c r="D99" i="18" l="1"/>
  <c r="F64" i="18"/>
  <c r="F66" i="18" s="1"/>
  <c r="E97" i="18"/>
  <c r="E98" i="18" s="1"/>
  <c r="E99" i="18" s="1"/>
  <c r="E101" i="18" s="1"/>
  <c r="D64" i="18"/>
  <c r="E63" i="18"/>
  <c r="E64" i="18" s="1"/>
  <c r="C67" i="18" l="1"/>
  <c r="D67" i="18" s="1"/>
  <c r="F99" i="18"/>
  <c r="D101" i="18"/>
  <c r="D66" i="18"/>
  <c r="E66" i="18"/>
  <c r="C102" i="18" l="1"/>
  <c r="D102" i="18" s="1"/>
  <c r="F101" i="18"/>
  <c r="D11" i="3" l="1"/>
  <c r="E11" i="3"/>
  <c r="C11" i="3"/>
  <c r="D5" i="3"/>
  <c r="D20" i="3" s="1"/>
  <c r="D31" i="3" s="1"/>
  <c r="E5" i="3"/>
  <c r="E20" i="3" s="1"/>
  <c r="C5" i="3"/>
  <c r="C20" i="3" s="1"/>
  <c r="C31" i="3" s="1"/>
  <c r="D9" i="3"/>
  <c r="D19" i="3" s="1"/>
  <c r="E9" i="3"/>
  <c r="E19" i="3" s="1"/>
  <c r="C9" i="3"/>
  <c r="C19" i="3" s="1"/>
  <c r="D13" i="18"/>
  <c r="F20" i="18"/>
  <c r="D8" i="3"/>
  <c r="G41" i="3" l="1"/>
  <c r="H41" i="3" s="1"/>
  <c r="D21" i="18"/>
  <c r="D25" i="18" s="1"/>
  <c r="E21" i="18"/>
  <c r="E25" i="18" s="1"/>
  <c r="F21" i="18"/>
  <c r="F25" i="18" s="1"/>
  <c r="F27" i="18" s="1"/>
  <c r="C29" i="18"/>
  <c r="E29" i="3"/>
  <c r="C18" i="3"/>
  <c r="E18" i="3"/>
  <c r="E45" i="3"/>
  <c r="F45" i="3" s="1"/>
  <c r="G45" i="3" s="1"/>
  <c r="H45" i="3" s="1"/>
  <c r="D43" i="3"/>
  <c r="D27" i="18" l="1"/>
  <c r="D28" i="18" s="1"/>
  <c r="D29" i="18" s="1"/>
  <c r="D18" i="3"/>
  <c r="E27" i="18"/>
  <c r="E28" i="18" s="1"/>
  <c r="E29" i="18" s="1"/>
  <c r="E31" i="18" s="1"/>
  <c r="F28" i="18"/>
  <c r="F29" i="18" s="1"/>
  <c r="C31" i="18"/>
  <c r="D44" i="3"/>
  <c r="C32" i="18" l="1"/>
  <c r="C44" i="3" l="1"/>
  <c r="E44" i="3" s="1"/>
  <c r="F44" i="3" s="1"/>
  <c r="G44" i="3" s="1"/>
  <c r="H44" i="3" s="1"/>
  <c r="C43" i="3"/>
  <c r="E43" i="3" s="1"/>
  <c r="F43" i="3" s="1"/>
  <c r="G43" i="3" s="1"/>
  <c r="H43" i="3" s="1"/>
  <c r="D32" i="18"/>
  <c r="D31" i="18"/>
  <c r="H47" i="3" l="1"/>
  <c r="AE7" i="57" s="1"/>
  <c r="J7" i="57" l="1"/>
  <c r="Q7" i="57"/>
  <c r="H48" i="3"/>
  <c r="F31" i="18" l="1"/>
</calcChain>
</file>

<file path=xl/sharedStrings.xml><?xml version="1.0" encoding="utf-8"?>
<sst xmlns="http://schemas.openxmlformats.org/spreadsheetml/2006/main" count="428" uniqueCount="155">
  <si>
    <t>Optimistic</t>
  </si>
  <si>
    <t>Base</t>
  </si>
  <si>
    <t>Pessimistic</t>
  </si>
  <si>
    <t>Alternative I - Conventional Checkout System</t>
  </si>
  <si>
    <t>Hardware Cost:</t>
  </si>
  <si>
    <t>https://qashier.com/sg/product-category/accessories/</t>
  </si>
  <si>
    <t>Initial One-Off Grant Subsidy (%)</t>
  </si>
  <si>
    <t>MARR</t>
  </si>
  <si>
    <t>Software Cost:</t>
  </si>
  <si>
    <t>https://qashier.com/sg/software-pricing/</t>
  </si>
  <si>
    <t>Annual Benefit (%)</t>
  </si>
  <si>
    <t>Study Period (years)</t>
  </si>
  <si>
    <t>Manpower Cost:</t>
  </si>
  <si>
    <t>https://sg.indeed.com/jobs?q=Supermarket+Cashier&amp;l=singapore&amp;mna=&amp;=&amp;aceid=&amp;gad_source=1&amp;gclid=Cj0KCQjw2a6wBhCVARIsABPeH1tTloqXXFTRE1Lqn0HInCf26Q-QdfdyuhmoMMoFar2G4mif7wfBkNQaAj3uEALw_wcB&amp;gclsrc=aw.ds&amp;from=mobRdr&amp;utm_source=%2Fm%2F&amp;utm_medium=redir&amp;utm_campaign=dt&amp;vjk=725fbfdeb7984e94</t>
  </si>
  <si>
    <t>`</t>
  </si>
  <si>
    <r>
      <t>Manpower Duration (hr/year)</t>
    </r>
    <r>
      <rPr>
        <sz val="9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>- 40h/week</t>
    </r>
  </si>
  <si>
    <t>Corporate Tax</t>
  </si>
  <si>
    <t>Manpower Cost ($/h)</t>
  </si>
  <si>
    <t>Annual Sales Volume</t>
  </si>
  <si>
    <t>Shrinkage Loss (%)</t>
  </si>
  <si>
    <r>
      <t xml:space="preserve">Hardware &amp; Software Cost ($) - </t>
    </r>
    <r>
      <rPr>
        <i/>
        <sz val="11"/>
        <color theme="1"/>
        <rFont val="Aptos Narrow"/>
        <family val="2"/>
        <scheme val="minor"/>
      </rPr>
      <t>per machine</t>
    </r>
  </si>
  <si>
    <t>Annual Sales ($)</t>
  </si>
  <si>
    <t>Monthly Operation &amp; Maintenance Costs ($)</t>
  </si>
  <si>
    <t>Market Value (%)</t>
  </si>
  <si>
    <t>CASH FLOW</t>
  </si>
  <si>
    <r>
      <t xml:space="preserve">Initial Investment </t>
    </r>
    <r>
      <rPr>
        <sz val="10"/>
        <color theme="1"/>
        <rFont val="Aptos Narrow"/>
        <family val="2"/>
        <scheme val="minor"/>
      </rPr>
      <t xml:space="preserve">- </t>
    </r>
    <r>
      <rPr>
        <i/>
        <sz val="10"/>
        <color theme="1"/>
        <rFont val="Aptos Narrow"/>
        <family val="2"/>
        <scheme val="minor"/>
      </rPr>
      <t>2 Checkout Lanes</t>
    </r>
  </si>
  <si>
    <t xml:space="preserve">   (Hardware + Software Cost)*2</t>
  </si>
  <si>
    <t>Initial One-off Grant Subsidy</t>
  </si>
  <si>
    <t xml:space="preserve">   Subsidy Percentage * Investment Cost</t>
  </si>
  <si>
    <t>Annual Benefits</t>
  </si>
  <si>
    <t xml:space="preserve">   Annual Benefit Percentage * Annual Sales Volume</t>
  </si>
  <si>
    <t>Operation &amp; Maintenance Costs</t>
  </si>
  <si>
    <t xml:space="preserve"> Monthly Operation &amp; Maintenance Costs * 12</t>
  </si>
  <si>
    <t>Manpower Costs</t>
  </si>
  <si>
    <t xml:space="preserve">   (Salary per Hour * No. of Working Hours per Year)*2</t>
  </si>
  <si>
    <t>Shrinkage Costs</t>
  </si>
  <si>
    <t xml:space="preserve">   Shrinkage Loss Percentage * Annual Sales Volume</t>
  </si>
  <si>
    <t>Market Value at EoY 3</t>
  </si>
  <si>
    <r>
      <t xml:space="preserve">   </t>
    </r>
    <r>
      <rPr>
        <i/>
        <sz val="11"/>
        <color theme="1"/>
        <rFont val="Aptos Narrow"/>
        <family val="2"/>
        <scheme val="minor"/>
      </rPr>
      <t>Market Value Percentage * Investment Cost</t>
    </r>
  </si>
  <si>
    <t>Useful Life (years)</t>
  </si>
  <si>
    <t>BASE CASE SCENARIO</t>
  </si>
  <si>
    <t>(a)</t>
  </si>
  <si>
    <t>(b)</t>
  </si>
  <si>
    <t>(c) = (a) - (b)</t>
  </si>
  <si>
    <t>(d) = -t(c)</t>
  </si>
  <si>
    <t>(e) = (a) + (d)</t>
  </si>
  <si>
    <t>(e)/(1+i)^k</t>
  </si>
  <si>
    <t>End of Year (EoY)</t>
  </si>
  <si>
    <t>BTCF</t>
  </si>
  <si>
    <t>Depreciation</t>
  </si>
  <si>
    <t>Taxable Income</t>
  </si>
  <si>
    <t>Tax Cashflow</t>
  </si>
  <si>
    <t>ATCF</t>
  </si>
  <si>
    <t>PW of ATCF</t>
  </si>
  <si>
    <t>AW of ATCF</t>
  </si>
  <si>
    <t>SensIt 1.53 Trial Version, Only For Evaluation</t>
  </si>
  <si>
    <t>Many Inputs, One Output</t>
  </si>
  <si>
    <t>Single-Factor Sensitivity Analysis</t>
  </si>
  <si>
    <t>Present Worth (PW)</t>
  </si>
  <si>
    <t>Corresponding Input Value</t>
  </si>
  <si>
    <t>Output Value</t>
  </si>
  <si>
    <t>Percent</t>
  </si>
  <si>
    <t>Input Variable</t>
  </si>
  <si>
    <t>Low Output</t>
  </si>
  <si>
    <t>Base Case</t>
  </si>
  <si>
    <t>High Output</t>
  </si>
  <si>
    <t>Low</t>
  </si>
  <si>
    <t>High</t>
  </si>
  <si>
    <t>Swing</t>
  </si>
  <si>
    <t>Swing^2</t>
  </si>
  <si>
    <t>Annual benefits</t>
  </si>
  <si>
    <t>Manpower costs</t>
  </si>
  <si>
    <t>O&amp;M costs</t>
  </si>
  <si>
    <t>One-off subsidy</t>
  </si>
  <si>
    <t>Initial setup costs</t>
  </si>
  <si>
    <t>Shrinkage costs</t>
  </si>
  <si>
    <t>MV at EOY 3</t>
  </si>
  <si>
    <t>Sales</t>
  </si>
  <si>
    <t>3 Key Factors of Uncertainty:</t>
  </si>
  <si>
    <t>This Version Not Licensed For Commercial Or Student Use</t>
  </si>
  <si>
    <t>TreePlan.com</t>
  </si>
  <si>
    <t>Alternative II - Self-checkout System</t>
  </si>
  <si>
    <t>After-Tax MARR</t>
  </si>
  <si>
    <t>Annual sales volume</t>
  </si>
  <si>
    <t>Corporate tax</t>
  </si>
  <si>
    <t>Assumption</t>
  </si>
  <si>
    <t>Co-Termination</t>
  </si>
  <si>
    <t>Initial Investment</t>
  </si>
  <si>
    <t>Annual Benefit</t>
  </si>
  <si>
    <t>Operation &amp; Maintenance Cost</t>
  </si>
  <si>
    <t>Manpower Cost (Full-time Associate   x1)</t>
  </si>
  <si>
    <t xml:space="preserve">   Salary per Hour * No. of Working Hours per Year</t>
  </si>
  <si>
    <t>End of Year</t>
  </si>
  <si>
    <t xml:space="preserve">One-off subsidy </t>
  </si>
  <si>
    <t>MV at EoY 3</t>
  </si>
  <si>
    <t>Alternative III - Checkout-free System / Unmanned Shop</t>
  </si>
  <si>
    <r>
      <t>Manpower Duration (hr/year)</t>
    </r>
    <r>
      <rPr>
        <sz val="9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>- 4h/day</t>
    </r>
  </si>
  <si>
    <t>Annual Sales (SGD$)</t>
  </si>
  <si>
    <r>
      <t xml:space="preserve">Hours in a Year (hr) </t>
    </r>
    <r>
      <rPr>
        <sz val="10"/>
        <color theme="1"/>
        <rFont val="Aptos Narrow"/>
        <family val="2"/>
        <scheme val="minor"/>
      </rPr>
      <t xml:space="preserve">- </t>
    </r>
    <r>
      <rPr>
        <i/>
        <sz val="10"/>
        <color theme="1"/>
        <rFont val="Aptos Narrow"/>
        <family val="2"/>
        <scheme val="minor"/>
      </rPr>
      <t>365 days</t>
    </r>
  </si>
  <si>
    <t>Energy Usage (kWh)</t>
  </si>
  <si>
    <t>Electricity Tariff ($/kWh)</t>
  </si>
  <si>
    <t>OPERATION &amp; MAINTENANCE COST  |  MANPOWER COST</t>
  </si>
  <si>
    <t>Maintenance &amp; Repairs Cost</t>
  </si>
  <si>
    <t>Utilities Cost</t>
  </si>
  <si>
    <t xml:space="preserve">   kWh * No. of Hours per Year * Cost per kWh</t>
  </si>
  <si>
    <t>Manpower Cost (Part-time Associate  x1)</t>
  </si>
  <si>
    <t xml:space="preserve">   Salary per Hour * No. of Hours per Year</t>
  </si>
  <si>
    <r>
      <t xml:space="preserve">   </t>
    </r>
    <r>
      <rPr>
        <i/>
        <sz val="11"/>
        <color theme="1"/>
        <rFont val="Aptos Narrow"/>
        <family val="2"/>
        <scheme val="minor"/>
      </rPr>
      <t>Maintenance &amp; Repairs Cost + Utilities Cost</t>
    </r>
  </si>
  <si>
    <t>Manpower Cost (Part-time Associate   x1)</t>
  </si>
  <si>
    <t>Shrinkage Cost</t>
  </si>
  <si>
    <t>After-Tax PW</t>
  </si>
  <si>
    <t>Initial One-Off Grant Subsidy</t>
  </si>
  <si>
    <t>Manpower Cost</t>
  </si>
  <si>
    <t>Annual Sales</t>
  </si>
  <si>
    <t>O&amp;M Cost</t>
  </si>
  <si>
    <t>Initial investment costs</t>
  </si>
  <si>
    <t>Annual benefit</t>
  </si>
  <si>
    <t>Alternative I (Conventional Checkout System) - Base Model</t>
  </si>
  <si>
    <t>RANGE DATA</t>
  </si>
  <si>
    <t>Factors</t>
  </si>
  <si>
    <t>Cash Flow ($)</t>
  </si>
  <si>
    <t>High (Optimistic)</t>
  </si>
  <si>
    <t>Low (Pessimistic)</t>
  </si>
  <si>
    <t>I</t>
  </si>
  <si>
    <t>G</t>
  </si>
  <si>
    <t>B</t>
  </si>
  <si>
    <t>C</t>
  </si>
  <si>
    <t>M</t>
  </si>
  <si>
    <t>S</t>
  </si>
  <si>
    <t>L</t>
  </si>
  <si>
    <t>Annual Worth (AW)</t>
  </si>
  <si>
    <t>After-Tax Cash Flow Analysis</t>
  </si>
  <si>
    <t>Investment Cost / Salvage Value</t>
  </si>
  <si>
    <t>Annual O&amp;M Cost</t>
  </si>
  <si>
    <t>Annual Manpower Cost</t>
  </si>
  <si>
    <t>Annual Shrinkage Cost</t>
  </si>
  <si>
    <t>Net Income</t>
  </si>
  <si>
    <t>Income Tax Cash Flow</t>
  </si>
  <si>
    <t>Compacted ATCF Series for IRR()</t>
  </si>
  <si>
    <t>Afer-Tax PW</t>
  </si>
  <si>
    <t>After-Tax IRR</t>
  </si>
  <si>
    <t>Alternative II (Checkout-free System / Unmanned Shop) - Base Model</t>
  </si>
  <si>
    <t>After Tax Cash Flow Analysis</t>
  </si>
  <si>
    <t>Alternative III (Unmanned Store) - Base Model</t>
  </si>
  <si>
    <t>Initial Investment Costs</t>
  </si>
  <si>
    <r>
      <rPr>
        <b/>
        <sz val="12"/>
        <color theme="1"/>
        <rFont val="Aptos Narrow"/>
        <family val="2"/>
        <scheme val="minor"/>
      </rPr>
      <t>Alternative 1</t>
    </r>
    <r>
      <rPr>
        <sz val="12"/>
        <color theme="1"/>
        <rFont val="Aptos Narrow"/>
        <family val="2"/>
        <scheme val="minor"/>
      </rPr>
      <t xml:space="preserve"> (Conventional Checkout) vs. </t>
    </r>
    <r>
      <rPr>
        <b/>
        <sz val="12"/>
        <color theme="1"/>
        <rFont val="Aptos Narrow"/>
        <family val="2"/>
        <scheme val="minor"/>
      </rPr>
      <t>Alternative 2</t>
    </r>
    <r>
      <rPr>
        <sz val="12"/>
        <color theme="1"/>
        <rFont val="Aptos Narrow"/>
        <family val="2"/>
        <scheme val="minor"/>
      </rPr>
      <t xml:space="preserve"> (Self-checkout)</t>
    </r>
  </si>
  <si>
    <r>
      <rPr>
        <b/>
        <sz val="12"/>
        <color theme="1"/>
        <rFont val="Aptos Narrow"/>
        <family val="2"/>
        <scheme val="minor"/>
      </rPr>
      <t>Alternative 1</t>
    </r>
    <r>
      <rPr>
        <sz val="12"/>
        <color theme="1"/>
        <rFont val="Aptos Narrow"/>
        <family val="2"/>
        <scheme val="minor"/>
      </rPr>
      <t xml:space="preserve"> (Conventional Checkout) vs. </t>
    </r>
    <r>
      <rPr>
        <b/>
        <sz val="12"/>
        <color theme="1"/>
        <rFont val="Aptos Narrow"/>
        <family val="2"/>
        <scheme val="minor"/>
      </rPr>
      <t xml:space="preserve">Alternative 3 </t>
    </r>
    <r>
      <rPr>
        <sz val="12"/>
        <color theme="1"/>
        <rFont val="Aptos Narrow"/>
        <family val="2"/>
        <scheme val="minor"/>
      </rPr>
      <t>(Checkout-free / Unmanned)</t>
    </r>
  </si>
  <si>
    <r>
      <rPr>
        <b/>
        <sz val="12"/>
        <color theme="1"/>
        <rFont val="Aptos Narrow"/>
        <family val="2"/>
        <scheme val="minor"/>
      </rPr>
      <t>Alternative 2</t>
    </r>
    <r>
      <rPr>
        <sz val="12"/>
        <color theme="1"/>
        <rFont val="Aptos Narrow"/>
        <family val="2"/>
        <scheme val="minor"/>
      </rPr>
      <t xml:space="preserve"> (Self-checkout) vs. </t>
    </r>
    <r>
      <rPr>
        <b/>
        <sz val="12"/>
        <color theme="1"/>
        <rFont val="Aptos Narrow"/>
        <family val="2"/>
        <scheme val="minor"/>
      </rPr>
      <t xml:space="preserve">Alternative 3 </t>
    </r>
    <r>
      <rPr>
        <sz val="12"/>
        <color theme="1"/>
        <rFont val="Aptos Narrow"/>
        <family val="2"/>
        <scheme val="minor"/>
      </rPr>
      <t>(Checkout-free / Unmanned)</t>
    </r>
  </si>
  <si>
    <t>Initial Cost of Alt 1</t>
  </si>
  <si>
    <t>PW(Alt 1)</t>
  </si>
  <si>
    <t>PW(Alt 2)</t>
  </si>
  <si>
    <t>Initial Cost of Alt 3</t>
  </si>
  <si>
    <t>PW(Alt 3)</t>
  </si>
  <si>
    <t>Annual Sales of Alt 1</t>
  </si>
  <si>
    <t>Annual Sales of Alt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</si>
</sst>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7" formatCode="&quot;$&quot;#,##0.00;\-&quot;$&quot;#,##0.00"/>
    <numFmt numFmtId="44" formatCode="_-&quot;$&quot;* #,##0.00_-;\-&quot;$&quot;* #,##0.00_-;_-&quot;$&quot;* &quot;-&quot;??_-;_-@_-"/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-[$$-4809]* #,##0.00_-;\-[$$-4809]* #,##0.00_-;_-[$$-4809]* &quot;-&quot;??_-;_-@_-"/>
    <numFmt numFmtId="167" formatCode="&quot;$&quot;#,##0.00"/>
    <numFmt numFmtId="168" formatCode="0.0%"/>
    <numFmt numFmtId="169" formatCode="0.000%"/>
  </numFmts>
  <fonts count="19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499984740745262"/>
        <bgColor indexed="64"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60">
    <xf numFmtId="0" fontId="0" fillId="0" borderId="0" xfId="0"/>
    <xf numFmtId="0" fontId="0" fillId="0" borderId="4" xfId="0" applyBorder="1" applyAlignment="1">
      <alignment horizontal="left" vertical="center"/>
    </xf>
    <xf numFmtId="166" fontId="0" fillId="0" borderId="4" xfId="0" applyNumberFormat="1" applyBorder="1" applyAlignment="1">
      <alignment horizontal="right" vertic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66" fontId="0" fillId="8" borderId="4" xfId="0" applyNumberForma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44" fontId="0" fillId="0" borderId="4" xfId="2" applyNumberFormat="1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166" fontId="0" fillId="0" borderId="4" xfId="2" applyNumberFormat="1" applyFont="1" applyBorder="1" applyAlignment="1">
      <alignment vertical="center"/>
    </xf>
    <xf numFmtId="166" fontId="0" fillId="0" borderId="4" xfId="0" applyNumberFormat="1" applyBorder="1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Continuous"/>
    </xf>
    <xf numFmtId="0" fontId="7" fillId="0" borderId="0" xfId="0" applyFont="1" applyAlignment="1">
      <alignment horizontal="centerContinuous"/>
    </xf>
    <xf numFmtId="44" fontId="0" fillId="0" borderId="0" xfId="0" applyNumberFormat="1"/>
    <xf numFmtId="168" fontId="0" fillId="0" borderId="0" xfId="0" applyNumberFormat="1"/>
    <xf numFmtId="0" fontId="0" fillId="0" borderId="4" xfId="0" applyBorder="1" applyAlignment="1">
      <alignment horizontal="center" vertical="center"/>
    </xf>
    <xf numFmtId="44" fontId="0" fillId="0" borderId="10" xfId="2" applyNumberFormat="1" applyFont="1" applyBorder="1" applyAlignment="1">
      <alignment horizontal="center" vertical="center"/>
    </xf>
    <xf numFmtId="44" fontId="0" fillId="0" borderId="7" xfId="2" applyNumberFormat="1" applyFont="1" applyBorder="1" applyAlignment="1">
      <alignment horizontal="center" vertical="center"/>
    </xf>
    <xf numFmtId="44" fontId="0" fillId="0" borderId="13" xfId="2" applyNumberFormat="1" applyFont="1" applyBorder="1" applyAlignment="1">
      <alignment horizontal="center" vertical="center"/>
    </xf>
    <xf numFmtId="44" fontId="0" fillId="0" borderId="11" xfId="2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4" fontId="0" fillId="0" borderId="0" xfId="2" applyNumberFormat="1" applyFont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2" fillId="7" borderId="0" xfId="0" applyFont="1" applyFill="1" applyAlignment="1">
      <alignment vertical="center"/>
    </xf>
    <xf numFmtId="165" fontId="0" fillId="0" borderId="4" xfId="2" applyFont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44" fontId="0" fillId="0" borderId="0" xfId="2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vertical="center"/>
    </xf>
    <xf numFmtId="0" fontId="0" fillId="2" borderId="4" xfId="0" applyFill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2" fillId="2" borderId="7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166" fontId="0" fillId="3" borderId="4" xfId="2" applyNumberFormat="1" applyFont="1" applyFill="1" applyBorder="1" applyAlignment="1">
      <alignment vertical="center"/>
    </xf>
    <xf numFmtId="9" fontId="0" fillId="0" borderId="7" xfId="0" applyNumberFormat="1" applyBorder="1" applyAlignment="1">
      <alignment horizontal="right" vertical="center"/>
    </xf>
    <xf numFmtId="9" fontId="0" fillId="0" borderId="4" xfId="0" applyNumberFormat="1" applyBorder="1" applyAlignment="1">
      <alignment horizontal="right" vertical="center"/>
    </xf>
    <xf numFmtId="9" fontId="0" fillId="0" borderId="1" xfId="0" applyNumberFormat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168" fontId="0" fillId="0" borderId="5" xfId="0" applyNumberFormat="1" applyBorder="1" applyAlignment="1">
      <alignment horizontal="right" vertical="center"/>
    </xf>
    <xf numFmtId="165" fontId="0" fillId="0" borderId="4" xfId="2" applyFont="1" applyBorder="1" applyAlignment="1">
      <alignment horizontal="right" vertical="center"/>
    </xf>
    <xf numFmtId="0" fontId="0" fillId="0" borderId="4" xfId="2" applyNumberFormat="1" applyFont="1" applyBorder="1" applyAlignment="1">
      <alignment horizontal="right" vertical="center"/>
    </xf>
    <xf numFmtId="44" fontId="0" fillId="0" borderId="14" xfId="0" applyNumberFormat="1" applyBorder="1"/>
    <xf numFmtId="44" fontId="0" fillId="0" borderId="16" xfId="0" applyNumberFormat="1" applyBorder="1"/>
    <xf numFmtId="0" fontId="0" fillId="0" borderId="5" xfId="0" applyBorder="1" applyAlignment="1">
      <alignment vertical="center"/>
    </xf>
    <xf numFmtId="1" fontId="0" fillId="0" borderId="5" xfId="0" applyNumberFormat="1" applyBorder="1" applyAlignment="1">
      <alignment vertical="center"/>
    </xf>
    <xf numFmtId="9" fontId="0" fillId="0" borderId="6" xfId="3" applyFont="1" applyBorder="1" applyAlignment="1">
      <alignment vertical="center"/>
    </xf>
    <xf numFmtId="9" fontId="0" fillId="0" borderId="4" xfId="3" applyFont="1" applyBorder="1" applyAlignment="1">
      <alignment vertical="center"/>
    </xf>
    <xf numFmtId="9" fontId="0" fillId="0" borderId="4" xfId="3" applyFont="1" applyBorder="1" applyAlignment="1">
      <alignment horizontal="right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vertical="center"/>
    </xf>
    <xf numFmtId="1" fontId="0" fillId="7" borderId="0" xfId="0" applyNumberFormat="1" applyFill="1" applyAlignment="1">
      <alignment vertical="center"/>
    </xf>
    <xf numFmtId="0" fontId="0" fillId="7" borderId="0" xfId="0" applyFill="1" applyAlignment="1">
      <alignment vertical="center"/>
    </xf>
    <xf numFmtId="0" fontId="0" fillId="0" borderId="10" xfId="0" applyBorder="1" applyAlignment="1">
      <alignment vertical="center"/>
    </xf>
    <xf numFmtId="0" fontId="0" fillId="2" borderId="8" xfId="0" applyFill="1" applyBorder="1" applyAlignment="1">
      <alignment vertical="center"/>
    </xf>
    <xf numFmtId="166" fontId="0" fillId="0" borderId="0" xfId="0" applyNumberFormat="1" applyAlignment="1">
      <alignment vertical="center"/>
    </xf>
    <xf numFmtId="166" fontId="6" fillId="0" borderId="0" xfId="2" applyNumberFormat="1" applyFont="1" applyAlignment="1">
      <alignment vertical="center"/>
    </xf>
    <xf numFmtId="0" fontId="0" fillId="3" borderId="8" xfId="0" applyFill="1" applyBorder="1" applyAlignment="1">
      <alignment vertical="center"/>
    </xf>
    <xf numFmtId="166" fontId="0" fillId="0" borderId="11" xfId="0" applyNumberFormat="1" applyBorder="1" applyAlignment="1">
      <alignment horizontal="right" vertical="center"/>
    </xf>
    <xf numFmtId="166" fontId="0" fillId="8" borderId="11" xfId="0" applyNumberFormat="1" applyFill="1" applyBorder="1" applyAlignment="1">
      <alignment horizontal="left" vertical="center"/>
    </xf>
    <xf numFmtId="166" fontId="0" fillId="8" borderId="12" xfId="0" applyNumberFormat="1" applyFill="1" applyBorder="1" applyAlignment="1">
      <alignment horizontal="left" vertical="center"/>
    </xf>
    <xf numFmtId="166" fontId="0" fillId="0" borderId="7" xfId="0" applyNumberFormat="1" applyBorder="1" applyAlignment="1">
      <alignment vertical="center"/>
    </xf>
    <xf numFmtId="166" fontId="0" fillId="0" borderId="8" xfId="0" applyNumberFormat="1" applyBorder="1" applyAlignment="1">
      <alignment vertical="center"/>
    </xf>
    <xf numFmtId="166" fontId="0" fillId="8" borderId="4" xfId="0" applyNumberFormat="1" applyFill="1" applyBorder="1" applyAlignment="1">
      <alignment vertical="center"/>
    </xf>
    <xf numFmtId="9" fontId="0" fillId="0" borderId="5" xfId="0" applyNumberFormat="1" applyBorder="1" applyAlignment="1">
      <alignment horizontal="right" vertical="center"/>
    </xf>
    <xf numFmtId="0" fontId="0" fillId="0" borderId="4" xfId="2" applyNumberFormat="1" applyFont="1" applyBorder="1" applyAlignment="1">
      <alignment vertical="center"/>
    </xf>
    <xf numFmtId="9" fontId="0" fillId="0" borderId="0" xfId="3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4" fillId="10" borderId="23" xfId="0" applyFont="1" applyFill="1" applyBorder="1" applyAlignment="1">
      <alignment horizontal="left" vertical="center"/>
    </xf>
    <xf numFmtId="0" fontId="4" fillId="10" borderId="26" xfId="0" applyFont="1" applyFill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10" borderId="20" xfId="0" applyFont="1" applyFill="1" applyBorder="1" applyAlignment="1">
      <alignment horizontal="left" vertical="center"/>
    </xf>
    <xf numFmtId="0" fontId="2" fillId="7" borderId="21" xfId="0" applyFont="1" applyFill="1" applyBorder="1" applyAlignment="1">
      <alignment horizontal="left" vertical="center"/>
    </xf>
    <xf numFmtId="0" fontId="2" fillId="7" borderId="30" xfId="0" applyFont="1" applyFill="1" applyBorder="1" applyAlignment="1">
      <alignment horizontal="left" vertical="center"/>
    </xf>
    <xf numFmtId="0" fontId="4" fillId="10" borderId="32" xfId="0" applyFont="1" applyFill="1" applyBorder="1" applyAlignment="1">
      <alignment horizontal="left" vertical="center"/>
    </xf>
    <xf numFmtId="7" fontId="0" fillId="0" borderId="4" xfId="2" applyNumberFormat="1" applyFont="1" applyBorder="1" applyAlignment="1">
      <alignment horizontal="center" vertical="center"/>
    </xf>
    <xf numFmtId="7" fontId="0" fillId="0" borderId="16" xfId="0" applyNumberFormat="1" applyBorder="1"/>
    <xf numFmtId="165" fontId="0" fillId="0" borderId="3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35" xfId="0" applyNumberFormat="1" applyBorder="1" applyAlignment="1">
      <alignment horizontal="center" vertical="center"/>
    </xf>
    <xf numFmtId="165" fontId="0" fillId="0" borderId="7" xfId="2" applyFont="1" applyBorder="1" applyAlignment="1">
      <alignment horizontal="center" vertical="center"/>
    </xf>
    <xf numFmtId="0" fontId="1" fillId="0" borderId="0" xfId="1" applyAlignment="1">
      <alignment vertical="center"/>
    </xf>
    <xf numFmtId="1" fontId="0" fillId="0" borderId="1" xfId="0" applyNumberFormat="1" applyBorder="1" applyAlignment="1">
      <alignment vertical="center"/>
    </xf>
    <xf numFmtId="9" fontId="0" fillId="0" borderId="4" xfId="0" applyNumberFormat="1" applyBorder="1" applyAlignment="1">
      <alignment vertical="center"/>
    </xf>
    <xf numFmtId="165" fontId="0" fillId="0" borderId="4" xfId="2" applyFont="1" applyFill="1" applyBorder="1" applyAlignment="1">
      <alignment vertical="center"/>
    </xf>
    <xf numFmtId="165" fontId="0" fillId="0" borderId="4" xfId="2" applyFont="1" applyBorder="1" applyAlignment="1">
      <alignment vertical="center"/>
    </xf>
    <xf numFmtId="9" fontId="0" fillId="0" borderId="0" xfId="0" applyNumberFormat="1" applyAlignment="1">
      <alignment vertical="center"/>
    </xf>
    <xf numFmtId="0" fontId="0" fillId="8" borderId="4" xfId="0" applyFill="1" applyBorder="1" applyAlignment="1">
      <alignment vertical="center"/>
    </xf>
    <xf numFmtId="0" fontId="0" fillId="9" borderId="8" xfId="0" applyFill="1" applyBorder="1" applyAlignment="1">
      <alignment vertical="center"/>
    </xf>
    <xf numFmtId="166" fontId="0" fillId="9" borderId="4" xfId="2" applyNumberFormat="1" applyFont="1" applyFill="1" applyBorder="1" applyAlignment="1">
      <alignment vertical="center"/>
    </xf>
    <xf numFmtId="0" fontId="2" fillId="11" borderId="0" xfId="0" applyFont="1" applyFill="1" applyAlignment="1">
      <alignment vertical="center"/>
    </xf>
    <xf numFmtId="166" fontId="0" fillId="11" borderId="0" xfId="0" applyNumberFormat="1" applyFill="1" applyAlignment="1">
      <alignment vertical="center"/>
    </xf>
    <xf numFmtId="0" fontId="0" fillId="11" borderId="0" xfId="0" applyFill="1" applyAlignment="1">
      <alignment vertical="center"/>
    </xf>
    <xf numFmtId="0" fontId="1" fillId="11" borderId="0" xfId="1" applyFill="1" applyAlignment="1">
      <alignment vertical="center"/>
    </xf>
    <xf numFmtId="166" fontId="5" fillId="0" borderId="0" xfId="0" applyNumberFormat="1" applyFont="1" applyAlignment="1">
      <alignment vertical="center"/>
    </xf>
    <xf numFmtId="168" fontId="0" fillId="0" borderId="4" xfId="0" applyNumberFormat="1" applyBorder="1" applyAlignment="1">
      <alignment vertical="center"/>
    </xf>
    <xf numFmtId="169" fontId="0" fillId="0" borderId="4" xfId="0" applyNumberFormat="1" applyBorder="1" applyAlignment="1">
      <alignment vertical="center"/>
    </xf>
    <xf numFmtId="10" fontId="0" fillId="0" borderId="4" xfId="0" applyNumberFormat="1" applyBorder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Continuous" vertical="center"/>
    </xf>
    <xf numFmtId="0" fontId="7" fillId="0" borderId="0" xfId="0" applyFont="1" applyAlignment="1">
      <alignment horizontal="centerContinuous" vertical="center"/>
    </xf>
    <xf numFmtId="168" fontId="0" fillId="0" borderId="0" xfId="0" applyNumberFormat="1" applyAlignment="1">
      <alignment vertical="center"/>
    </xf>
    <xf numFmtId="168" fontId="0" fillId="0" borderId="0" xfId="0" applyNumberFormat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12" borderId="9" xfId="0" applyFont="1" applyFill="1" applyBorder="1" applyAlignment="1">
      <alignment horizontal="center" vertical="center"/>
    </xf>
    <xf numFmtId="0" fontId="4" fillId="0" borderId="0" xfId="0" applyFont="1"/>
    <xf numFmtId="165" fontId="0" fillId="0" borderId="0" xfId="2" applyFont="1" applyAlignment="1">
      <alignment horizontal="center" vertical="center"/>
    </xf>
    <xf numFmtId="165" fontId="7" fillId="0" borderId="0" xfId="2" applyFont="1" applyAlignment="1">
      <alignment horizontal="center" vertical="center"/>
    </xf>
    <xf numFmtId="165" fontId="4" fillId="12" borderId="9" xfId="2" applyFont="1" applyFill="1" applyBorder="1" applyAlignment="1">
      <alignment horizontal="center" vertical="center"/>
    </xf>
    <xf numFmtId="165" fontId="4" fillId="12" borderId="0" xfId="2" applyFont="1" applyFill="1" applyAlignment="1">
      <alignment horizontal="center" vertical="center"/>
    </xf>
    <xf numFmtId="165" fontId="0" fillId="0" borderId="10" xfId="2" applyFont="1" applyBorder="1" applyAlignment="1">
      <alignment horizontal="center" vertical="center"/>
    </xf>
    <xf numFmtId="165" fontId="0" fillId="0" borderId="13" xfId="2" applyFont="1" applyBorder="1" applyAlignment="1">
      <alignment horizontal="center" vertical="center"/>
    </xf>
    <xf numFmtId="165" fontId="0" fillId="0" borderId="14" xfId="2" applyFont="1" applyBorder="1" applyAlignment="1">
      <alignment horizontal="center" vertical="center"/>
    </xf>
    <xf numFmtId="165" fontId="0" fillId="0" borderId="15" xfId="2" applyFont="1" applyBorder="1" applyAlignment="1">
      <alignment horizontal="center" vertical="center"/>
    </xf>
    <xf numFmtId="165" fontId="0" fillId="0" borderId="6" xfId="2" applyFont="1" applyBorder="1" applyAlignment="1">
      <alignment horizontal="center" vertical="center"/>
    </xf>
    <xf numFmtId="165" fontId="0" fillId="0" borderId="16" xfId="2" applyFont="1" applyBorder="1" applyAlignment="1">
      <alignment horizontal="center" vertical="center"/>
    </xf>
    <xf numFmtId="165" fontId="0" fillId="0" borderId="11" xfId="2" applyFont="1" applyBorder="1" applyAlignment="1">
      <alignment horizontal="center" vertical="center"/>
    </xf>
    <xf numFmtId="9" fontId="0" fillId="0" borderId="0" xfId="3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166" fontId="0" fillId="9" borderId="4" xfId="0" applyNumberForma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4" fontId="0" fillId="0" borderId="3" xfId="2" applyNumberFormat="1" applyFont="1" applyBorder="1" applyAlignment="1">
      <alignment horizontal="left" vertical="center"/>
    </xf>
    <xf numFmtId="0" fontId="1" fillId="0" borderId="0" xfId="1" applyAlignment="1">
      <alignment horizontal="left" vertical="center"/>
    </xf>
    <xf numFmtId="166" fontId="0" fillId="0" borderId="1" xfId="0" applyNumberFormat="1" applyBorder="1" applyAlignment="1">
      <alignment horizontal="left" vertical="center"/>
    </xf>
    <xf numFmtId="166" fontId="0" fillId="0" borderId="4" xfId="0" applyNumberFormat="1" applyBorder="1" applyAlignment="1">
      <alignment horizontal="left" vertical="center"/>
    </xf>
    <xf numFmtId="1" fontId="0" fillId="0" borderId="5" xfId="0" applyNumberFormat="1" applyBorder="1" applyAlignment="1">
      <alignment horizontal="right" vertical="center"/>
    </xf>
    <xf numFmtId="10" fontId="0" fillId="0" borderId="4" xfId="0" applyNumberFormat="1" applyBorder="1" applyAlignment="1">
      <alignment horizontal="right" vertical="center"/>
    </xf>
    <xf numFmtId="9" fontId="0" fillId="0" borderId="6" xfId="0" applyNumberFormat="1" applyBorder="1" applyAlignment="1">
      <alignment horizontal="right" vertical="center"/>
    </xf>
    <xf numFmtId="9" fontId="0" fillId="0" borderId="6" xfId="3" applyFont="1" applyBorder="1" applyAlignment="1">
      <alignment horizontal="right" vertical="center"/>
    </xf>
    <xf numFmtId="168" fontId="0" fillId="0" borderId="6" xfId="3" applyNumberFormat="1" applyFont="1" applyBorder="1" applyAlignment="1">
      <alignment horizontal="right" vertical="center"/>
    </xf>
    <xf numFmtId="166" fontId="0" fillId="13" borderId="4" xfId="0" applyNumberFormat="1" applyFill="1" applyBorder="1" applyAlignment="1">
      <alignment horizontal="left" vertical="center"/>
    </xf>
    <xf numFmtId="0" fontId="0" fillId="14" borderId="0" xfId="0" applyFill="1" applyAlignment="1">
      <alignment horizontal="left" vertical="center"/>
    </xf>
    <xf numFmtId="0" fontId="2" fillId="14" borderId="0" xfId="0" applyFont="1" applyFill="1" applyAlignment="1">
      <alignment horizontal="left" vertical="center"/>
    </xf>
    <xf numFmtId="0" fontId="0" fillId="13" borderId="8" xfId="0" applyFill="1" applyBorder="1" applyAlignment="1">
      <alignment vertical="center"/>
    </xf>
    <xf numFmtId="44" fontId="0" fillId="13" borderId="3" xfId="2" applyNumberFormat="1" applyFont="1" applyFill="1" applyBorder="1" applyAlignment="1">
      <alignment horizontal="left" vertical="center"/>
    </xf>
    <xf numFmtId="0" fontId="4" fillId="12" borderId="0" xfId="0" applyFont="1" applyFill="1" applyAlignment="1">
      <alignment horizontal="center"/>
    </xf>
    <xf numFmtId="0" fontId="4" fillId="12" borderId="9" xfId="0" applyFont="1" applyFill="1" applyBorder="1" applyAlignment="1">
      <alignment horizontal="center"/>
    </xf>
    <xf numFmtId="165" fontId="0" fillId="0" borderId="0" xfId="2" applyFont="1" applyAlignment="1">
      <alignment vertical="center"/>
    </xf>
    <xf numFmtId="165" fontId="0" fillId="0" borderId="14" xfId="2" applyFont="1" applyBorder="1" applyAlignment="1">
      <alignment vertical="center"/>
    </xf>
    <xf numFmtId="165" fontId="0" fillId="0" borderId="16" xfId="2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10" fontId="13" fillId="0" borderId="0" xfId="0" applyNumberFormat="1" applyFont="1" applyAlignment="1">
      <alignment horizontal="center" vertical="center"/>
    </xf>
    <xf numFmtId="167" fontId="13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165" fontId="0" fillId="0" borderId="0" xfId="2" applyFont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0" fillId="0" borderId="4" xfId="2" applyNumberFormat="1" applyFont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10" fontId="13" fillId="13" borderId="0" xfId="0" applyNumberFormat="1" applyFont="1" applyFill="1" applyAlignment="1">
      <alignment horizontal="center" vertical="center"/>
    </xf>
    <xf numFmtId="167" fontId="13" fillId="13" borderId="0" xfId="0" applyNumberFormat="1" applyFont="1" applyFill="1" applyAlignment="1">
      <alignment horizontal="left" vertical="center"/>
    </xf>
    <xf numFmtId="0" fontId="13" fillId="13" borderId="0" xfId="0" applyFont="1" applyFill="1" applyAlignment="1">
      <alignment vertical="center"/>
    </xf>
    <xf numFmtId="0" fontId="11" fillId="13" borderId="0" xfId="0" applyFont="1" applyFill="1" applyAlignment="1">
      <alignment vertical="center"/>
    </xf>
    <xf numFmtId="0" fontId="2" fillId="13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horizontal="center" vertical="center"/>
    </xf>
    <xf numFmtId="165" fontId="0" fillId="0" borderId="4" xfId="2" applyFont="1" applyFill="1" applyBorder="1" applyAlignment="1">
      <alignment horizontal="right" vertical="center"/>
    </xf>
    <xf numFmtId="165" fontId="0" fillId="0" borderId="22" xfId="2" applyFont="1" applyFill="1" applyBorder="1" applyAlignment="1">
      <alignment horizontal="right" vertical="center"/>
    </xf>
    <xf numFmtId="165" fontId="0" fillId="0" borderId="0" xfId="2" applyFont="1" applyFill="1" applyBorder="1" applyAlignment="1">
      <alignment horizontal="center" vertical="center"/>
    </xf>
    <xf numFmtId="165" fontId="0" fillId="0" borderId="4" xfId="2" applyFont="1" applyFill="1" applyBorder="1" applyAlignment="1">
      <alignment horizontal="left" vertical="center"/>
    </xf>
    <xf numFmtId="165" fontId="0" fillId="0" borderId="0" xfId="2" applyFont="1" applyFill="1" applyBorder="1" applyAlignment="1">
      <alignment vertical="center"/>
    </xf>
    <xf numFmtId="165" fontId="0" fillId="0" borderId="0" xfId="2" applyFont="1" applyFill="1" applyBorder="1" applyAlignment="1">
      <alignment horizontal="left" vertical="center"/>
    </xf>
    <xf numFmtId="165" fontId="0" fillId="0" borderId="8" xfId="2" applyFont="1" applyBorder="1" applyAlignment="1">
      <alignment horizontal="center" vertical="center"/>
    </xf>
    <xf numFmtId="165" fontId="0" fillId="0" borderId="28" xfId="2" applyFont="1" applyBorder="1" applyAlignment="1">
      <alignment horizontal="center" vertical="center"/>
    </xf>
    <xf numFmtId="165" fontId="2" fillId="0" borderId="4" xfId="2" applyFont="1" applyBorder="1" applyAlignment="1">
      <alignment horizontal="center" vertical="center"/>
    </xf>
    <xf numFmtId="165" fontId="2" fillId="0" borderId="29" xfId="2" applyFont="1" applyBorder="1" applyAlignment="1">
      <alignment horizontal="center" vertical="center"/>
    </xf>
    <xf numFmtId="165" fontId="0" fillId="0" borderId="29" xfId="2" applyFont="1" applyBorder="1" applyAlignment="1">
      <alignment horizontal="center" vertical="center"/>
    </xf>
    <xf numFmtId="165" fontId="0" fillId="0" borderId="24" xfId="2" applyFont="1" applyBorder="1" applyAlignment="1">
      <alignment horizontal="center" vertical="center"/>
    </xf>
    <xf numFmtId="165" fontId="0" fillId="0" borderId="25" xfId="2" applyFont="1" applyBorder="1" applyAlignment="1">
      <alignment horizontal="center" vertical="center"/>
    </xf>
    <xf numFmtId="165" fontId="0" fillId="0" borderId="19" xfId="2" applyFont="1" applyBorder="1" applyAlignment="1">
      <alignment horizontal="center" vertical="center"/>
    </xf>
    <xf numFmtId="165" fontId="0" fillId="0" borderId="27" xfId="2" applyFont="1" applyBorder="1" applyAlignment="1">
      <alignment horizontal="center" vertical="center"/>
    </xf>
    <xf numFmtId="165" fontId="0" fillId="0" borderId="33" xfId="2" applyFont="1" applyBorder="1" applyAlignment="1">
      <alignment horizontal="center" vertical="center"/>
    </xf>
    <xf numFmtId="165" fontId="0" fillId="0" borderId="34" xfId="2" applyFont="1" applyBorder="1" applyAlignment="1">
      <alignment horizontal="center" vertical="center"/>
    </xf>
    <xf numFmtId="0" fontId="0" fillId="13" borderId="21" xfId="0" applyFill="1" applyBorder="1" applyAlignment="1">
      <alignment horizontal="left" vertical="center"/>
    </xf>
    <xf numFmtId="0" fontId="4" fillId="16" borderId="23" xfId="0" applyFont="1" applyFill="1" applyBorder="1" applyAlignment="1">
      <alignment horizontal="left" vertical="center"/>
    </xf>
    <xf numFmtId="0" fontId="4" fillId="16" borderId="32" xfId="0" applyFont="1" applyFill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center" vertical="center"/>
    </xf>
    <xf numFmtId="165" fontId="0" fillId="0" borderId="29" xfId="2" applyFont="1" applyFill="1" applyBorder="1" applyAlignment="1">
      <alignment horizontal="right" vertical="center"/>
    </xf>
    <xf numFmtId="165" fontId="0" fillId="0" borderId="37" xfId="2" applyFont="1" applyFill="1" applyBorder="1" applyAlignment="1">
      <alignment horizontal="right" vertical="center"/>
    </xf>
    <xf numFmtId="44" fontId="0" fillId="0" borderId="0" xfId="0" applyNumberFormat="1" applyAlignment="1">
      <alignment horizontal="left" vertical="center"/>
    </xf>
    <xf numFmtId="0" fontId="4" fillId="17" borderId="23" xfId="0" applyFont="1" applyFill="1" applyBorder="1" applyAlignment="1">
      <alignment horizontal="left" vertical="center"/>
    </xf>
    <xf numFmtId="0" fontId="0" fillId="9" borderId="21" xfId="0" applyFill="1" applyBorder="1" applyAlignment="1">
      <alignment horizontal="left" vertical="center"/>
    </xf>
    <xf numFmtId="0" fontId="4" fillId="17" borderId="38" xfId="0" applyFont="1" applyFill="1" applyBorder="1" applyAlignment="1">
      <alignment horizontal="left" vertical="center"/>
    </xf>
    <xf numFmtId="165" fontId="0" fillId="0" borderId="39" xfId="2" applyFont="1" applyFill="1" applyBorder="1" applyAlignment="1">
      <alignment horizontal="left" vertical="center"/>
    </xf>
    <xf numFmtId="0" fontId="4" fillId="17" borderId="40" xfId="0" applyFont="1" applyFill="1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165" fontId="0" fillId="0" borderId="29" xfId="2" applyFont="1" applyFill="1" applyBorder="1" applyAlignment="1">
      <alignment horizontal="left" vertical="center"/>
    </xf>
    <xf numFmtId="165" fontId="0" fillId="0" borderId="43" xfId="2" applyFont="1" applyFill="1" applyBorder="1" applyAlignment="1">
      <alignment horizontal="left" vertical="center"/>
    </xf>
    <xf numFmtId="165" fontId="0" fillId="0" borderId="24" xfId="2" applyFont="1" applyFill="1" applyBorder="1" applyAlignment="1">
      <alignment horizontal="left" vertical="center"/>
    </xf>
    <xf numFmtId="165" fontId="0" fillId="0" borderId="25" xfId="2" applyFont="1" applyFill="1" applyBorder="1" applyAlignment="1">
      <alignment horizontal="left" vertical="center"/>
    </xf>
    <xf numFmtId="0" fontId="0" fillId="11" borderId="30" xfId="0" applyFill="1" applyBorder="1" applyAlignment="1">
      <alignment horizontal="left" vertical="center"/>
    </xf>
    <xf numFmtId="165" fontId="0" fillId="11" borderId="6" xfId="2" applyFont="1" applyFill="1" applyBorder="1" applyAlignment="1">
      <alignment horizontal="left" vertical="center"/>
    </xf>
    <xf numFmtId="165" fontId="0" fillId="11" borderId="31" xfId="2" applyFont="1" applyFill="1" applyBorder="1" applyAlignment="1">
      <alignment horizontal="left" vertical="center"/>
    </xf>
    <xf numFmtId="165" fontId="2" fillId="7" borderId="6" xfId="2" applyFont="1" applyFill="1" applyBorder="1" applyAlignment="1">
      <alignment horizontal="center" vertical="center"/>
    </xf>
    <xf numFmtId="165" fontId="2" fillId="7" borderId="31" xfId="2" applyFont="1" applyFill="1" applyBorder="1" applyAlignment="1">
      <alignment horizontal="center" vertical="center"/>
    </xf>
    <xf numFmtId="0" fontId="0" fillId="3" borderId="21" xfId="0" applyFill="1" applyBorder="1" applyAlignment="1">
      <alignment horizontal="left" vertical="center"/>
    </xf>
    <xf numFmtId="0" fontId="2" fillId="14" borderId="21" xfId="0" applyFont="1" applyFill="1" applyBorder="1" applyAlignment="1">
      <alignment horizontal="left" vertical="center"/>
    </xf>
    <xf numFmtId="0" fontId="2" fillId="11" borderId="21" xfId="0" applyFont="1" applyFill="1" applyBorder="1" applyAlignment="1">
      <alignment horizontal="left" vertical="center"/>
    </xf>
    <xf numFmtId="0" fontId="0" fillId="9" borderId="0" xfId="0" applyFill="1" applyAlignment="1">
      <alignment horizontal="center" vertical="center"/>
    </xf>
    <xf numFmtId="0" fontId="2" fillId="9" borderId="0" xfId="0" applyFont="1" applyFill="1" applyAlignment="1">
      <alignment horizontal="left" vertical="center"/>
    </xf>
    <xf numFmtId="10" fontId="13" fillId="9" borderId="0" xfId="0" applyNumberFormat="1" applyFont="1" applyFill="1" applyAlignment="1">
      <alignment horizontal="center" vertical="center"/>
    </xf>
    <xf numFmtId="167" fontId="13" fillId="9" borderId="0" xfId="0" applyNumberFormat="1" applyFont="1" applyFill="1" applyAlignment="1">
      <alignment horizontal="left" vertical="center"/>
    </xf>
    <xf numFmtId="0" fontId="13" fillId="9" borderId="0" xfId="0" applyFont="1" applyFill="1" applyAlignment="1">
      <alignment vertical="center"/>
    </xf>
    <xf numFmtId="0" fontId="11" fillId="9" borderId="0" xfId="0" applyFont="1" applyFill="1" applyAlignment="1">
      <alignment vertical="center"/>
    </xf>
    <xf numFmtId="0" fontId="15" fillId="15" borderId="0" xfId="0" applyFont="1" applyFill="1" applyAlignment="1">
      <alignment vertical="center"/>
    </xf>
    <xf numFmtId="0" fontId="15" fillId="8" borderId="0" xfId="0" applyFont="1" applyFill="1" applyAlignment="1">
      <alignment vertical="center"/>
    </xf>
    <xf numFmtId="0" fontId="15" fillId="3" borderId="0" xfId="0" applyFont="1" applyFill="1" applyAlignment="1">
      <alignment vertical="center"/>
    </xf>
    <xf numFmtId="0" fontId="0" fillId="8" borderId="0" xfId="0" applyFill="1" applyAlignment="1">
      <alignment vertical="center"/>
    </xf>
    <xf numFmtId="166" fontId="0" fillId="0" borderId="0" xfId="0" applyNumberFormat="1" applyAlignment="1">
      <alignment horizontal="right" vertical="center"/>
    </xf>
    <xf numFmtId="0" fontId="14" fillId="8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165" fontId="2" fillId="0" borderId="36" xfId="2" applyFont="1" applyBorder="1" applyAlignment="1">
      <alignment vertical="center"/>
    </xf>
    <xf numFmtId="166" fontId="0" fillId="8" borderId="0" xfId="0" applyNumberFormat="1" applyFill="1" applyAlignment="1">
      <alignment vertical="center"/>
    </xf>
    <xf numFmtId="0" fontId="17" fillId="8" borderId="0" xfId="0" applyFont="1" applyFill="1" applyAlignment="1">
      <alignment vertical="center"/>
    </xf>
    <xf numFmtId="0" fontId="17" fillId="3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165" fontId="0" fillId="0" borderId="33" xfId="2" applyFont="1" applyFill="1" applyBorder="1" applyAlignment="1">
      <alignment horizontal="right" vertical="center"/>
    </xf>
    <xf numFmtId="165" fontId="0" fillId="0" borderId="34" xfId="2" applyFont="1" applyFill="1" applyBorder="1" applyAlignment="1">
      <alignment horizontal="right" vertical="center"/>
    </xf>
    <xf numFmtId="165" fontId="0" fillId="0" borderId="24" xfId="2" applyFont="1" applyFill="1" applyBorder="1" applyAlignment="1">
      <alignment horizontal="right" vertical="center"/>
    </xf>
    <xf numFmtId="165" fontId="0" fillId="0" borderId="25" xfId="2" applyFont="1" applyFill="1" applyBorder="1" applyAlignment="1">
      <alignment horizontal="right" vertical="center"/>
    </xf>
    <xf numFmtId="0" fontId="4" fillId="16" borderId="40" xfId="0" applyFont="1" applyFill="1" applyBorder="1" applyAlignment="1">
      <alignment horizontal="left" vertical="center"/>
    </xf>
    <xf numFmtId="165" fontId="0" fillId="0" borderId="41" xfId="2" applyFont="1" applyFill="1" applyBorder="1" applyAlignment="1">
      <alignment horizontal="center" vertical="center"/>
    </xf>
    <xf numFmtId="165" fontId="0" fillId="0" borderId="42" xfId="2" applyFont="1" applyFill="1" applyBorder="1" applyAlignment="1">
      <alignment horizontal="center" vertical="center"/>
    </xf>
    <xf numFmtId="0" fontId="2" fillId="14" borderId="44" xfId="0" applyFont="1" applyFill="1" applyBorder="1" applyAlignment="1">
      <alignment horizontal="left" vertical="center"/>
    </xf>
    <xf numFmtId="165" fontId="2" fillId="14" borderId="22" xfId="2" applyFont="1" applyFill="1" applyBorder="1" applyAlignment="1">
      <alignment horizontal="right" vertical="center"/>
    </xf>
    <xf numFmtId="165" fontId="2" fillId="14" borderId="37" xfId="2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7" fillId="15" borderId="0" xfId="0" applyFont="1" applyFill="1" applyAlignment="1">
      <alignment horizontal="center" vertical="center"/>
    </xf>
    <xf numFmtId="0" fontId="14" fillId="15" borderId="0" xfId="0" applyFont="1" applyFill="1" applyAlignment="1">
      <alignment horizontal="center" vertical="center"/>
    </xf>
    <xf numFmtId="44" fontId="16" fillId="0" borderId="4" xfId="0" applyNumberFormat="1" applyFont="1" applyBorder="1" applyAlignment="1">
      <alignment wrapText="1"/>
    </xf>
  </cellXfs>
  <cellStyles count="4">
    <cellStyle name="Currency" xfId="2" builtinId="4"/>
    <cellStyle name="Hyperlink" xfId="1" builtinId="8"/>
    <cellStyle name="Normal" xfId="0" builtinId="0"/>
    <cellStyle name="Percent" xfId="3" builtinId="5"/>
  </cellStyles>
  <dxfs count="10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/>
            </a:pPr>
            <a:r>
              <a:rPr lang="en-US" sz="1000" b="0" i="0"/>
              <a:t>SensIt 1.53 Trial Version, Only For Evaluation, TreePlan.com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Bars on Left</c:v>
          </c:tx>
          <c:spPr>
            <a:solidFill>
              <a:srgbClr val="000000"/>
            </a:solidFill>
          </c:spPr>
          <c:invertIfNegative val="0"/>
          <c:dLbls>
            <c:dLbl>
              <c:idx val="0"/>
              <c:tx>
                <c:strRef>
                  <c:f>'Alt 1 - Tornado Chart'!$B$9</c:f>
                  <c:strCache>
                    <c:ptCount val="1"/>
                    <c:pt idx="0">
                      <c:v> $-  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{547B89CD-9763-44CD-8CF1-4424E2F58DF3}</c15:txfldGUID>
                      <c15:f>'Alt 1 - Tornado Chart'!$B$9</c15:f>
                      <c15:dlblFieldTableCache>
                        <c:ptCount val="1"/>
                        <c:pt idx="0">
                          <c:v> $-  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7ACF-4553-9D3E-60721A728A29}"/>
                </c:ext>
              </c:extLst>
            </c:dLbl>
            <c:dLbl>
              <c:idx val="1"/>
              <c:tx>
                <c:strRef>
                  <c:f>'Alt 1 - Tornado Chart'!$B$10</c:f>
                  <c:strCache>
                    <c:ptCount val="1"/>
                    <c:pt idx="0">
                      <c:v> $(49,920.00)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{2D5C688C-71FA-4006-AE7F-23F37EA6333B}</c15:txfldGUID>
                      <c15:f>'Alt 1 - Tornado Chart'!$B$10</c15:f>
                      <c15:dlblFieldTableCache>
                        <c:ptCount val="1"/>
                        <c:pt idx="0">
                          <c:v> $(49,920.00)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7ACF-4553-9D3E-60721A728A29}"/>
                </c:ext>
              </c:extLst>
            </c:dLbl>
            <c:dLbl>
              <c:idx val="2"/>
              <c:tx>
                <c:strRef>
                  <c:f>'Alt 1 - Tornado Chart'!$B$11</c:f>
                  <c:strCache>
                    <c:ptCount val="1"/>
                    <c:pt idx="0">
                      <c:v> $(3,000.00)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{BAB8CD56-11C0-4E22-96F9-375B7E66F656}</c15:txfldGUID>
                      <c15:f>'Alt 1 - Tornado Chart'!$B$11</c15:f>
                      <c15:dlblFieldTableCache>
                        <c:ptCount val="1"/>
                        <c:pt idx="0">
                          <c:v> $(3,000.00)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7ACF-4553-9D3E-60721A728A29}"/>
                </c:ext>
              </c:extLst>
            </c:dLbl>
            <c:dLbl>
              <c:idx val="3"/>
              <c:tx>
                <c:strRef>
                  <c:f>'Alt 1 - Tornado Chart'!$B$12</c:f>
                  <c:strCache>
                    <c:ptCount val="1"/>
                    <c:pt idx="0">
                      <c:v> $-  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{9CC6EC43-44D9-4E28-88B9-42AAFB664726}</c15:txfldGUID>
                      <c15:f>'Alt 1 - Tornado Chart'!$B$12</c15:f>
                      <c15:dlblFieldTableCache>
                        <c:ptCount val="1"/>
                        <c:pt idx="0">
                          <c:v> $-  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7ACF-4553-9D3E-60721A728A29}"/>
                </c:ext>
              </c:extLst>
            </c:dLbl>
            <c:dLbl>
              <c:idx val="4"/>
              <c:tx>
                <c:strRef>
                  <c:f>'Alt 1 - Tornado Chart'!$B$13</c:f>
                  <c:strCache>
                    <c:ptCount val="1"/>
                    <c:pt idx="0">
                      <c:v> $(6,076.00)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{8E101D15-6165-4D91-B7BE-93030E525502}</c15:txfldGUID>
                      <c15:f>'Alt 1 - Tornado Chart'!$B$13</c15:f>
                      <c15:dlblFieldTableCache>
                        <c:ptCount val="1"/>
                        <c:pt idx="0">
                          <c:v> $(6,076.00)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7ACF-4553-9D3E-60721A728A29}"/>
                </c:ext>
              </c:extLst>
            </c:dLbl>
            <c:dLbl>
              <c:idx val="5"/>
              <c:tx>
                <c:strRef>
                  <c:f>'Alt 1 - Tornado Chart'!$B$14</c:f>
                  <c:strCache>
                    <c:ptCount val="1"/>
                    <c:pt idx="0">
                      <c:v> $(161.54)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{E3EE82CF-A1DF-445C-A067-6B1D1AA1BA0C}</c15:txfldGUID>
                      <c15:f>'Alt 1 - Tornado Chart'!$B$14</c15:f>
                      <c15:dlblFieldTableCache>
                        <c:ptCount val="1"/>
                        <c:pt idx="0">
                          <c:v> $(161.54)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7ACF-4553-9D3E-60721A728A29}"/>
                </c:ext>
              </c:extLst>
            </c:dLbl>
            <c:dLbl>
              <c:idx val="6"/>
              <c:tx>
                <c:strRef>
                  <c:f>'Alt 1 - Tornado Chart'!$B$15</c:f>
                  <c:strCache>
                    <c:ptCount val="1"/>
                    <c:pt idx="0">
                      <c:v> $1,822.80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{0B41DCB9-D26D-4A8F-8A5E-14395482F792}</c15:txfldGUID>
                      <c15:f>'Alt 1 - Tornado Chart'!$B$15</c15:f>
                      <c15:dlblFieldTableCache>
                        <c:ptCount val="1"/>
                        <c:pt idx="0">
                          <c:v> $1,822.80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7ACF-4553-9D3E-60721A728A29}"/>
                </c:ext>
              </c:extLst>
            </c:dLbl>
            <c:dLbl>
              <c:idx val="7"/>
              <c:tx>
                <c:strRef>
                  <c:f>'Alt 1 - Tornado Chart'!$B$16</c:f>
                  <c:strCache>
                    <c:ptCount val="1"/>
                    <c:pt idx="0">
                      <c:v> $1,800,000.00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{6F777E9B-6E42-41E8-AB7E-A3B779A5A279}</c15:txfldGUID>
                      <c15:f>'Alt 1 - Tornado Chart'!$B$16</c15:f>
                      <c15:dlblFieldTableCache>
                        <c:ptCount val="1"/>
                        <c:pt idx="0">
                          <c:v> $1,800,000.00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7ACF-4553-9D3E-60721A728A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'Alt 1 - Tornado Chart'!$A$9:$A$16</c:f>
              <c:strCache>
                <c:ptCount val="8"/>
                <c:pt idx="0">
                  <c:v>Annual benefits</c:v>
                </c:pt>
                <c:pt idx="1">
                  <c:v>Manpower costs</c:v>
                </c:pt>
                <c:pt idx="2">
                  <c:v>O&amp;M costs</c:v>
                </c:pt>
                <c:pt idx="3">
                  <c:v>One-off subsidy</c:v>
                </c:pt>
                <c:pt idx="4">
                  <c:v>Initial setup costs</c:v>
                </c:pt>
                <c:pt idx="5">
                  <c:v>Shrinkage costs</c:v>
                </c:pt>
                <c:pt idx="6">
                  <c:v>MV at EOY 3</c:v>
                </c:pt>
                <c:pt idx="7">
                  <c:v>Sales</c:v>
                </c:pt>
              </c:strCache>
            </c:strRef>
          </c:cat>
          <c:val>
            <c:numRef>
              <c:f>'Alt 1 - Tornado Chart'!$E$9:$E$16</c:f>
              <c:numCache>
                <c:formatCode>_("$"* #,##0.00_);_("$"* \(#,##0.00\);_("$"* "-"??_);_(@_)</c:formatCode>
                <c:ptCount val="8"/>
                <c:pt idx="0">
                  <c:v>-92687.65</c:v>
                </c:pt>
                <c:pt idx="1">
                  <c:v>76383</c:v>
                </c:pt>
                <c:pt idx="2">
                  <c:v>91698.53</c:v>
                </c:pt>
                <c:pt idx="3">
                  <c:v>92382.28</c:v>
                </c:pt>
                <c:pt idx="4">
                  <c:v>93032.17</c:v>
                </c:pt>
                <c:pt idx="5">
                  <c:v>93551.45</c:v>
                </c:pt>
                <c:pt idx="6">
                  <c:v>93329.47</c:v>
                </c:pt>
                <c:pt idx="7">
                  <c:v>93556.21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F-4553-9D3E-60721A728A29}"/>
            </c:ext>
          </c:extLst>
        </c:ser>
        <c:ser>
          <c:idx val="1"/>
          <c:order val="1"/>
          <c:tx>
            <c:v>Bars on Right</c:v>
          </c:tx>
          <c:spPr>
            <a:solidFill>
              <a:srgbClr val="000000"/>
            </a:solidFill>
          </c:spPr>
          <c:invertIfNegative val="0"/>
          <c:dLbls>
            <c:dLbl>
              <c:idx val="0"/>
              <c:tx>
                <c:strRef>
                  <c:f>'Alt 1 - Tornado Chart'!$D$9</c:f>
                  <c:strCache>
                    <c:ptCount val="1"/>
                    <c:pt idx="0">
                      <c:v> $306,000.00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{52E748C7-6AEB-4536-BC00-92F4DAFF819D}</c15:txfldGUID>
                      <c15:f>'Alt 1 - Tornado Chart'!$D$9</c15:f>
                      <c15:dlblFieldTableCache>
                        <c:ptCount val="1"/>
                        <c:pt idx="0">
                          <c:v> $306,000.00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7ACF-4553-9D3E-60721A728A29}"/>
                </c:ext>
              </c:extLst>
            </c:dLbl>
            <c:dLbl>
              <c:idx val="1"/>
              <c:tx>
                <c:strRef>
                  <c:f>'Alt 1 - Tornado Chart'!$D$10</c:f>
                  <c:strCache>
                    <c:ptCount val="1"/>
                    <c:pt idx="0">
                      <c:v> $(33,280.00)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{C197FD9C-0AD2-4F98-96DA-887AF217EAF9}</c15:txfldGUID>
                      <c15:f>'Alt 1 - Tornado Chart'!$D$10</c15:f>
                      <c15:dlblFieldTableCache>
                        <c:ptCount val="1"/>
                        <c:pt idx="0">
                          <c:v> $(33,280.00)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7ACF-4553-9D3E-60721A728A29}"/>
                </c:ext>
              </c:extLst>
            </c:dLbl>
            <c:dLbl>
              <c:idx val="2"/>
              <c:tx>
                <c:strRef>
                  <c:f>'Alt 1 - Tornado Chart'!$D$11</c:f>
                  <c:strCache>
                    <c:ptCount val="1"/>
                    <c:pt idx="0">
                      <c:v> $(1,200.00)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{B1A25F2C-DB21-4400-92F7-7827AFB915B7}</c15:txfldGUID>
                      <c15:f>'Alt 1 - Tornado Chart'!$D$11</c15:f>
                      <c15:dlblFieldTableCache>
                        <c:ptCount val="1"/>
                        <c:pt idx="0">
                          <c:v> $(1,200.00)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7ACF-4553-9D3E-60721A728A29}"/>
                </c:ext>
              </c:extLst>
            </c:dLbl>
            <c:dLbl>
              <c:idx val="3"/>
              <c:tx>
                <c:strRef>
                  <c:f>'Alt 1 - Tornado Chart'!$D$12</c:f>
                  <c:strCache>
                    <c:ptCount val="1"/>
                    <c:pt idx="0">
                      <c:v> $2,250.00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{55E1F670-E563-4411-9095-200A40EF1736}</c15:txfldGUID>
                      <c15:f>'Alt 1 - Tornado Chart'!$D$12</c15:f>
                      <c15:dlblFieldTableCache>
                        <c:ptCount val="1"/>
                        <c:pt idx="0">
                          <c:v> $2,250.00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7ACF-4553-9D3E-60721A728A29}"/>
                </c:ext>
              </c:extLst>
            </c:dLbl>
            <c:dLbl>
              <c:idx val="4"/>
              <c:tx>
                <c:strRef>
                  <c:f>'Alt 1 - Tornado Chart'!$D$13</c:f>
                  <c:strCache>
                    <c:ptCount val="1"/>
                    <c:pt idx="0">
                      <c:v> $(4,500.00)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{9BED9133-DDFA-4F07-9284-9E8740AAA5F6}</c15:txfldGUID>
                      <c15:f>'Alt 1 - Tornado Chart'!$D$13</c15:f>
                      <c15:dlblFieldTableCache>
                        <c:ptCount val="1"/>
                        <c:pt idx="0">
                          <c:v> $(4,500.00)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7ACF-4553-9D3E-60721A728A29}"/>
                </c:ext>
              </c:extLst>
            </c:dLbl>
            <c:dLbl>
              <c:idx val="5"/>
              <c:tx>
                <c:strRef>
                  <c:f>'Alt 1 - Tornado Chart'!$D$14</c:f>
                  <c:strCache>
                    <c:ptCount val="1"/>
                    <c:pt idx="0">
                      <c:v> $-  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{8AD8A664-0A0F-4111-856B-6E39322313EA}</c15:txfldGUID>
                      <c15:f>'Alt 1 - Tornado Chart'!$D$14</c15:f>
                      <c15:dlblFieldTableCache>
                        <c:ptCount val="1"/>
                        <c:pt idx="0">
                          <c:v> $-  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7ACF-4553-9D3E-60721A728A29}"/>
                </c:ext>
              </c:extLst>
            </c:dLbl>
            <c:dLbl>
              <c:idx val="6"/>
              <c:tx>
                <c:strRef>
                  <c:f>'Alt 1 - Tornado Chart'!$D$15</c:f>
                  <c:strCache>
                    <c:ptCount val="1"/>
                    <c:pt idx="0">
                      <c:v> $2,250.00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{AC7E9C36-A864-4F75-87D3-129AD7EE0E8F}</c15:txfldGUID>
                      <c15:f>'Alt 1 - Tornado Chart'!$D$15</c15:f>
                      <c15:dlblFieldTableCache>
                        <c:ptCount val="1"/>
                        <c:pt idx="0">
                          <c:v> $2,250.00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7ACF-4553-9D3E-60721A728A29}"/>
                </c:ext>
              </c:extLst>
            </c:dLbl>
            <c:dLbl>
              <c:idx val="7"/>
              <c:tx>
                <c:strRef>
                  <c:f>'Alt 1 - Tornado Chart'!$D$16</c:f>
                  <c:strCache>
                    <c:ptCount val="1"/>
                    <c:pt idx="0">
                      <c:v> $323,073.30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{96F947DF-CC54-41CC-A2DF-CBD624A9F7B5}</c15:txfldGUID>
                      <c15:f>'Alt 1 - Tornado Chart'!$D$16</c15:f>
                      <c15:dlblFieldTableCache>
                        <c:ptCount val="1"/>
                        <c:pt idx="0">
                          <c:v> $323,073.30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7ACF-4553-9D3E-60721A728A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'Alt 1 - Tornado Chart'!$A$9:$A$16</c:f>
              <c:strCache>
                <c:ptCount val="8"/>
                <c:pt idx="0">
                  <c:v>Annual benefits</c:v>
                </c:pt>
                <c:pt idx="1">
                  <c:v>Manpower costs</c:v>
                </c:pt>
                <c:pt idx="2">
                  <c:v>O&amp;M costs</c:v>
                </c:pt>
                <c:pt idx="3">
                  <c:v>One-off subsidy</c:v>
                </c:pt>
                <c:pt idx="4">
                  <c:v>Initial setup costs</c:v>
                </c:pt>
                <c:pt idx="5">
                  <c:v>Shrinkage costs</c:v>
                </c:pt>
                <c:pt idx="6">
                  <c:v>MV at EOY 3</c:v>
                </c:pt>
                <c:pt idx="7">
                  <c:v>Sales</c:v>
                </c:pt>
              </c:strCache>
            </c:strRef>
          </c:cat>
          <c:val>
            <c:numRef>
              <c:f>'Alt 1 - Tornado Chart'!$G$9:$G$16</c:f>
              <c:numCache>
                <c:formatCode>_("$"* #,##0.00_);_("$"* \(#,##0.00\);_("$"* "-"??_);_(@_)</c:formatCode>
                <c:ptCount val="8"/>
                <c:pt idx="0">
                  <c:v>538923.02</c:v>
                </c:pt>
                <c:pt idx="1">
                  <c:v>110729.41</c:v>
                </c:pt>
                <c:pt idx="2">
                  <c:v>95413.89</c:v>
                </c:pt>
                <c:pt idx="3">
                  <c:v>94315.199999999997</c:v>
                </c:pt>
                <c:pt idx="4">
                  <c:v>94386.08</c:v>
                </c:pt>
                <c:pt idx="5">
                  <c:v>93884.87</c:v>
                </c:pt>
                <c:pt idx="6">
                  <c:v>93595.87</c:v>
                </c:pt>
                <c:pt idx="7">
                  <c:v>93556.21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CF-4553-9D3E-60721A728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overlap val="100"/>
        <c:axId val="207034863"/>
        <c:axId val="207035343"/>
      </c:barChart>
      <c:catAx>
        <c:axId val="20703486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/>
            </a:pPr>
            <a:endParaRPr lang="en-US"/>
          </a:p>
        </c:txPr>
        <c:crossAx val="207035343"/>
        <c:crossesAt val="93556.207599999994"/>
        <c:auto val="0"/>
        <c:lblAlgn val="ctr"/>
        <c:lblOffset val="100"/>
        <c:noMultiLvlLbl val="0"/>
      </c:catAx>
      <c:valAx>
        <c:axId val="207035343"/>
        <c:scaling>
          <c:orientation val="minMax"/>
          <c:max val="700000"/>
          <c:min val="-200000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/>
                </a:pPr>
                <a:r>
                  <a:rPr lang="en-US" sz="1000" b="0" i="0"/>
                  <a:t>Present Worth (PW)</a:t>
                </a:r>
              </a:p>
            </c:rich>
          </c:tx>
          <c:overlay val="0"/>
        </c:title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US"/>
          </a:p>
        </c:txPr>
        <c:crossAx val="207034863"/>
        <c:crosses val="max"/>
        <c:crossBetween val="between"/>
        <c:majorUnit val="100000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/>
            </a:pPr>
            <a:r>
              <a:rPr lang="en-GB" sz="1000" b="0" i="0"/>
              <a:t>SensIt 1.53 Trial Version, Only For Evaluation, TreePlan.com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Bars on Left</c:v>
          </c:tx>
          <c:spPr>
            <a:solidFill>
              <a:srgbClr val="000000"/>
            </a:solidFill>
          </c:spPr>
          <c:invertIfNegative val="0"/>
          <c:dLbls>
            <c:dLbl>
              <c:idx val="0"/>
              <c:tx>
                <c:strRef>
                  <c:f>'Alt 2 - Tornado Chart'!$B$9</c:f>
                  <c:strCache>
                    <c:ptCount val="1"/>
                    <c:pt idx="0">
                      <c:v> $323,073.30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{17D34792-FD03-472A-8483-E1963FF8B6DA}</c15:txfldGUID>
                      <c15:f>'Alt 2 - Tornado Chart'!$B$9</c15:f>
                      <c15:dlblFieldTableCache>
                        <c:ptCount val="1"/>
                        <c:pt idx="0">
                          <c:v> $323,073.30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65E6-4FC8-A3EE-43EE0F59CB8F}"/>
                </c:ext>
              </c:extLst>
            </c:dLbl>
            <c:dLbl>
              <c:idx val="1"/>
              <c:tx>
                <c:strRef>
                  <c:f>'Alt 2 - Tornado Chart'!$B$10</c:f>
                  <c:strCache>
                    <c:ptCount val="1"/>
                    <c:pt idx="0">
                      <c:v> $-  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{39F1D30D-5694-4F13-A485-22307D2FF47C}</c15:txfldGUID>
                      <c15:f>'Alt 2 - Tornado Chart'!$B$10</c15:f>
                      <c15:dlblFieldTableCache>
                        <c:ptCount val="1"/>
                        <c:pt idx="0">
                          <c:v> $-  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65E6-4FC8-A3EE-43EE0F59CB8F}"/>
                </c:ext>
              </c:extLst>
            </c:dLbl>
            <c:dLbl>
              <c:idx val="2"/>
              <c:tx>
                <c:strRef>
                  <c:f>'Alt 2 - Tornado Chart'!$B$11</c:f>
                  <c:strCache>
                    <c:ptCount val="1"/>
                    <c:pt idx="0">
                      <c:v> $(150,000.00)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{3C00A33C-F13D-4647-B0CF-C71295CB913D}</c15:txfldGUID>
                      <c15:f>'Alt 2 - Tornado Chart'!$B$11</c15:f>
                      <c15:dlblFieldTableCache>
                        <c:ptCount val="1"/>
                        <c:pt idx="0">
                          <c:v> $(150,000.00)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65E6-4FC8-A3EE-43EE0F59CB8F}"/>
                </c:ext>
              </c:extLst>
            </c:dLbl>
            <c:dLbl>
              <c:idx val="3"/>
              <c:tx>
                <c:strRef>
                  <c:f>'Alt 2 - Tornado Chart'!$B$12</c:f>
                  <c:strCache>
                    <c:ptCount val="1"/>
                    <c:pt idx="0">
                      <c:v> $(22,615.13)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{4399422B-DDFE-421D-A29A-75E14196E8B1}</c15:txfldGUID>
                      <c15:f>'Alt 2 - Tornado Chart'!$B$12</c15:f>
                      <c15:dlblFieldTableCache>
                        <c:ptCount val="1"/>
                        <c:pt idx="0">
                          <c:v> $(22,615.13)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65E6-4FC8-A3EE-43EE0F59CB8F}"/>
                </c:ext>
              </c:extLst>
            </c:dLbl>
            <c:dLbl>
              <c:idx val="4"/>
              <c:tx>
                <c:strRef>
                  <c:f>'Alt 2 - Tornado Chart'!$B$13</c:f>
                  <c:strCache>
                    <c:ptCount val="1"/>
                    <c:pt idx="0">
                      <c:v> $(24,960.00)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{1732C826-A965-4178-B9A5-CD1564353E98}</c15:txfldGUID>
                      <c15:f>'Alt 2 - Tornado Chart'!$B$13</c15:f>
                      <c15:dlblFieldTableCache>
                        <c:ptCount val="1"/>
                        <c:pt idx="0">
                          <c:v> $(24,960.00)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65E6-4FC8-A3EE-43EE0F59CB8F}"/>
                </c:ext>
              </c:extLst>
            </c:dLbl>
            <c:dLbl>
              <c:idx val="5"/>
              <c:tx>
                <c:strRef>
                  <c:f>'Alt 2 - Tornado Chart'!$B$14</c:f>
                  <c:strCache>
                    <c:ptCount val="1"/>
                    <c:pt idx="0">
                      <c:v> $45,000.00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{17E182E1-FF89-427D-B702-909AF3018276}</c15:txfldGUID>
                      <c15:f>'Alt 2 - Tornado Chart'!$B$14</c15:f>
                      <c15:dlblFieldTableCache>
                        <c:ptCount val="1"/>
                        <c:pt idx="0">
                          <c:v> $45,000.00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65E6-4FC8-A3EE-43EE0F59CB8F}"/>
                </c:ext>
              </c:extLst>
            </c:dLbl>
            <c:dLbl>
              <c:idx val="6"/>
              <c:tx>
                <c:strRef>
                  <c:f>'Alt 2 - Tornado Chart'!$B$15</c:f>
                  <c:strCache>
                    <c:ptCount val="1"/>
                    <c:pt idx="0">
                      <c:v> $-  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{F4250A14-4B29-402A-B683-245ACD167394}</c15:txfldGUID>
                      <c15:f>'Alt 2 - Tornado Chart'!$B$15</c15:f>
                      <c15:dlblFieldTableCache>
                        <c:ptCount val="1"/>
                        <c:pt idx="0">
                          <c:v> $-  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65E6-4FC8-A3EE-43EE0F59CB8F}"/>
                </c:ext>
              </c:extLst>
            </c:dLbl>
            <c:dLbl>
              <c:idx val="7"/>
              <c:tx>
                <c:strRef>
                  <c:f>'Alt 2 - Tornado Chart'!$B$16</c:f>
                  <c:strCache>
                    <c:ptCount val="1"/>
                    <c:pt idx="0">
                      <c:v> $(20,352.00)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{4BC90ED0-9970-4BEC-837D-2E6C1C3E8D19}</c15:txfldGUID>
                      <c15:f>'Alt 2 - Tornado Chart'!$B$16</c15:f>
                      <c15:dlblFieldTableCache>
                        <c:ptCount val="1"/>
                        <c:pt idx="0">
                          <c:v> $(20,352.00)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65E6-4FC8-A3EE-43EE0F59CB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'Alt 2 - Tornado Chart'!$A$9:$A$16</c:f>
              <c:strCache>
                <c:ptCount val="8"/>
                <c:pt idx="0">
                  <c:v>Sales</c:v>
                </c:pt>
                <c:pt idx="1">
                  <c:v>One-off subsidy </c:v>
                </c:pt>
                <c:pt idx="2">
                  <c:v>Initial setup costs</c:v>
                </c:pt>
                <c:pt idx="3">
                  <c:v>Shrinkage costs</c:v>
                </c:pt>
                <c:pt idx="4">
                  <c:v>Manpower costs</c:v>
                </c:pt>
                <c:pt idx="5">
                  <c:v>MV at EoY 3</c:v>
                </c:pt>
                <c:pt idx="6">
                  <c:v>Annual benefits</c:v>
                </c:pt>
                <c:pt idx="7">
                  <c:v>O&amp;M costs</c:v>
                </c:pt>
              </c:strCache>
            </c:strRef>
          </c:cat>
          <c:val>
            <c:numRef>
              <c:f>'Alt 2 - Tornado Chart'!$E$9:$E$16</c:f>
              <c:numCache>
                <c:formatCode>_("$"* #,##0.00_);_("$"* \(#,##0.00\);_("$"* "-"??_);_(@_)</c:formatCode>
                <c:ptCount val="8"/>
                <c:pt idx="0">
                  <c:v>-71781.119999999995</c:v>
                </c:pt>
                <c:pt idx="1">
                  <c:v>80628.33</c:v>
                </c:pt>
                <c:pt idx="2">
                  <c:v>86878.33</c:v>
                </c:pt>
                <c:pt idx="3">
                  <c:v>109507.07</c:v>
                </c:pt>
                <c:pt idx="4">
                  <c:v>105160.06</c:v>
                </c:pt>
                <c:pt idx="5">
                  <c:v>110430</c:v>
                </c:pt>
                <c:pt idx="6">
                  <c:v>111878.33</c:v>
                </c:pt>
                <c:pt idx="7">
                  <c:v>111878.33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E6-4FC8-A3EE-43EE0F59CB8F}"/>
            </c:ext>
          </c:extLst>
        </c:ser>
        <c:ser>
          <c:idx val="1"/>
          <c:order val="1"/>
          <c:tx>
            <c:v>Bars on Right</c:v>
          </c:tx>
          <c:spPr>
            <a:solidFill>
              <a:srgbClr val="000000"/>
            </a:solidFill>
          </c:spPr>
          <c:invertIfNegative val="0"/>
          <c:dLbls>
            <c:dLbl>
              <c:idx val="0"/>
              <c:tx>
                <c:strRef>
                  <c:f>'Alt 2 - Tornado Chart'!$D$9</c:f>
                  <c:strCache>
                    <c:ptCount val="1"/>
                    <c:pt idx="0">
                      <c:v> $1,800,000.00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{15813EA2-6143-40B2-882A-35BA9987768D}</c15:txfldGUID>
                      <c15:f>'Alt 2 - Tornado Chart'!$D$9</c15:f>
                      <c15:dlblFieldTableCache>
                        <c:ptCount val="1"/>
                        <c:pt idx="0">
                          <c:v> $1,800,000.00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65E6-4FC8-A3EE-43EE0F59CB8F}"/>
                </c:ext>
              </c:extLst>
            </c:dLbl>
            <c:dLbl>
              <c:idx val="1"/>
              <c:tx>
                <c:strRef>
                  <c:f>'Alt 2 - Tornado Chart'!$D$10</c:f>
                  <c:strCache>
                    <c:ptCount val="1"/>
                    <c:pt idx="0">
                      <c:v> $55,000.00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{702BB7E8-2C9D-4C0B-AC74-463ACB12765C}</c15:txfldGUID>
                      <c15:f>'Alt 2 - Tornado Chart'!$D$10</c15:f>
                      <c15:dlblFieldTableCache>
                        <c:ptCount val="1"/>
                        <c:pt idx="0">
                          <c:v> $55,000.00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65E6-4FC8-A3EE-43EE0F59CB8F}"/>
                </c:ext>
              </c:extLst>
            </c:dLbl>
            <c:dLbl>
              <c:idx val="2"/>
              <c:tx>
                <c:strRef>
                  <c:f>'Alt 2 - Tornado Chart'!$D$11</c:f>
                  <c:strCache>
                    <c:ptCount val="1"/>
                    <c:pt idx="0">
                      <c:v> $(110,000.00)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{3BEDEC83-6493-41B4-931E-C7878F352AB3}</c15:txfldGUID>
                      <c15:f>'Alt 2 - Tornado Chart'!$D$11</c15:f>
                      <c15:dlblFieldTableCache>
                        <c:ptCount val="1"/>
                        <c:pt idx="0">
                          <c:v> $(110,000.00)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65E6-4FC8-A3EE-43EE0F59CB8F}"/>
                </c:ext>
              </c:extLst>
            </c:dLbl>
            <c:dLbl>
              <c:idx val="3"/>
              <c:tx>
                <c:strRef>
                  <c:f>'Alt 2 - Tornado Chart'!$D$12</c:f>
                  <c:strCache>
                    <c:ptCount val="1"/>
                    <c:pt idx="0">
                      <c:v> $-  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{79CBEC4F-851D-4650-B61F-046503A0D459}</c15:txfldGUID>
                      <c15:f>'Alt 2 - Tornado Chart'!$D$12</c15:f>
                      <c15:dlblFieldTableCache>
                        <c:ptCount val="1"/>
                        <c:pt idx="0">
                          <c:v> $-  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65E6-4FC8-A3EE-43EE0F59CB8F}"/>
                </c:ext>
              </c:extLst>
            </c:dLbl>
            <c:dLbl>
              <c:idx val="4"/>
              <c:tx>
                <c:strRef>
                  <c:f>'Alt 2 - Tornado Chart'!$D$13</c:f>
                  <c:strCache>
                    <c:ptCount val="1"/>
                    <c:pt idx="0">
                      <c:v> $(16,640.00)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{0EC2EF88-4211-4CA7-84B9-641D9F5EDEF8}</c15:txfldGUID>
                      <c15:f>'Alt 2 - Tornado Chart'!$D$13</c15:f>
                      <c15:dlblFieldTableCache>
                        <c:ptCount val="1"/>
                        <c:pt idx="0">
                          <c:v> $(16,640.00)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65E6-4FC8-A3EE-43EE0F59CB8F}"/>
                </c:ext>
              </c:extLst>
            </c:dLbl>
            <c:dLbl>
              <c:idx val="5"/>
              <c:tx>
                <c:strRef>
                  <c:f>'Alt 2 - Tornado Chart'!$D$14</c:f>
                  <c:strCache>
                    <c:ptCount val="1"/>
                    <c:pt idx="0">
                      <c:v> $55,000.00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{FB49ABA4-CFA6-4BD7-BA1C-895BF253F643}</c15:txfldGUID>
                      <c15:f>'Alt 2 - Tornado Chart'!$D$14</c15:f>
                      <c15:dlblFieldTableCache>
                        <c:ptCount val="1"/>
                        <c:pt idx="0">
                          <c:v> $55,000.00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65E6-4FC8-A3EE-43EE0F59CB8F}"/>
                </c:ext>
              </c:extLst>
            </c:dLbl>
            <c:dLbl>
              <c:idx val="6"/>
              <c:tx>
                <c:strRef>
                  <c:f>'Alt 2 - Tornado Chart'!$D$15</c:f>
                  <c:strCache>
                    <c:ptCount val="1"/>
                    <c:pt idx="0">
                      <c:v> $540,000.00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{0D61463A-FA37-4ACC-AD05-6FD787EFEB52}</c15:txfldGUID>
                      <c15:f>'Alt 2 - Tornado Chart'!$D$15</c15:f>
                      <c15:dlblFieldTableCache>
                        <c:ptCount val="1"/>
                        <c:pt idx="0">
                          <c:v> $540,000.00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65E6-4FC8-A3EE-43EE0F59CB8F}"/>
                </c:ext>
              </c:extLst>
            </c:dLbl>
            <c:dLbl>
              <c:idx val="7"/>
              <c:tx>
                <c:strRef>
                  <c:f>'Alt 2 - Tornado Chart'!$D$16</c:f>
                  <c:strCache>
                    <c:ptCount val="1"/>
                    <c:pt idx="0">
                      <c:v> $(21,690.30)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{B870479B-2271-42CE-AE2D-71D216BE2F81}</c15:txfldGUID>
                      <c15:f>'Alt 2 - Tornado Chart'!$D$16</c15:f>
                      <c15:dlblFieldTableCache>
                        <c:ptCount val="1"/>
                        <c:pt idx="0">
                          <c:v> $(21,690.30)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65E6-4FC8-A3EE-43EE0F59CB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'Alt 2 - Tornado Chart'!$A$9:$A$16</c:f>
              <c:strCache>
                <c:ptCount val="8"/>
                <c:pt idx="0">
                  <c:v>Sales</c:v>
                </c:pt>
                <c:pt idx="1">
                  <c:v>One-off subsidy </c:v>
                </c:pt>
                <c:pt idx="2">
                  <c:v>Initial setup costs</c:v>
                </c:pt>
                <c:pt idx="3">
                  <c:v>Shrinkage costs</c:v>
                </c:pt>
                <c:pt idx="4">
                  <c:v>Manpower costs</c:v>
                </c:pt>
                <c:pt idx="5">
                  <c:v>MV at EoY 3</c:v>
                </c:pt>
                <c:pt idx="6">
                  <c:v>Annual benefits</c:v>
                </c:pt>
                <c:pt idx="7">
                  <c:v>O&amp;M costs</c:v>
                </c:pt>
              </c:strCache>
            </c:strRef>
          </c:cat>
          <c:val>
            <c:numRef>
              <c:f>'Alt 2 - Tornado Chart'!$G$9:$G$16</c:f>
              <c:numCache>
                <c:formatCode>_("$"* #,##0.00_);_("$"* \(#,##0.00\);_("$"* "-"??_);_(@_)</c:formatCode>
                <c:ptCount val="8"/>
                <c:pt idx="0">
                  <c:v>295537.77</c:v>
                </c:pt>
                <c:pt idx="1">
                  <c:v>135628.32999999999</c:v>
                </c:pt>
                <c:pt idx="2">
                  <c:v>126878.33</c:v>
                </c:pt>
                <c:pt idx="3">
                  <c:v>142709.51</c:v>
                </c:pt>
                <c:pt idx="4">
                  <c:v>118596.59</c:v>
                </c:pt>
                <c:pt idx="5">
                  <c:v>113326.65</c:v>
                </c:pt>
                <c:pt idx="6">
                  <c:v>111878.33</c:v>
                </c:pt>
                <c:pt idx="7">
                  <c:v>111878.33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E6-4FC8-A3EE-43EE0F59C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overlap val="100"/>
        <c:axId val="1701789887"/>
        <c:axId val="1701787007"/>
      </c:barChart>
      <c:catAx>
        <c:axId val="170178988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/>
            </a:pPr>
            <a:endParaRPr lang="en-US"/>
          </a:p>
        </c:txPr>
        <c:crossAx val="1701787007"/>
        <c:crossesAt val="111878.3257"/>
        <c:auto val="0"/>
        <c:lblAlgn val="ctr"/>
        <c:lblOffset val="100"/>
        <c:noMultiLvlLbl val="0"/>
      </c:catAx>
      <c:valAx>
        <c:axId val="1701787007"/>
        <c:scaling>
          <c:orientation val="minMax"/>
          <c:max val="350000"/>
          <c:min val="-150000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/>
                </a:pPr>
                <a:r>
                  <a:rPr lang="en-GB" sz="1000" b="0" i="0"/>
                  <a:t>Present Worth (PW)</a:t>
                </a:r>
              </a:p>
            </c:rich>
          </c:tx>
          <c:overlay val="0"/>
        </c:title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/>
            </a:pPr>
            <a:endParaRPr lang="en-US"/>
          </a:p>
        </c:txPr>
        <c:crossAx val="1701789887"/>
        <c:crosses val="max"/>
        <c:crossBetween val="between"/>
        <c:majorUnit val="50000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/>
            </a:pPr>
            <a:r>
              <a:rPr lang="en-US" sz="1000" b="0" i="0"/>
              <a:t>SensIt 1.53 Trial Version, Only For Evaluation, TreePlan.com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Bars on Left</c:v>
          </c:tx>
          <c:spPr>
            <a:solidFill>
              <a:srgbClr val="000000"/>
            </a:solidFill>
          </c:spPr>
          <c:invertIfNegative val="0"/>
          <c:dLbls>
            <c:dLbl>
              <c:idx val="0"/>
              <c:tx>
                <c:strRef>
                  <c:f>'Alt 3 - Tornado Chart'!$B$9</c:f>
                  <c:strCache>
                    <c:ptCount val="1"/>
                    <c:pt idx="0">
                      <c:v>-$1,000,000.00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{4D13C98F-F605-4052-98BD-8BFE46CAAC80}</c15:txfldGUID>
                      <c15:f>'Alt 3 - Tornado Chart'!$B$9</c15:f>
                      <c15:dlblFieldTableCache>
                        <c:ptCount val="1"/>
                        <c:pt idx="0">
                          <c:v>-$1,000,000.00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9B18-4BDD-9E3B-CA7ED0B25738}"/>
                </c:ext>
              </c:extLst>
            </c:dLbl>
            <c:dLbl>
              <c:idx val="1"/>
              <c:tx>
                <c:strRef>
                  <c:f>'Alt 3 - Tornado Chart'!$B$10</c:f>
                  <c:strCache>
                    <c:ptCount val="1"/>
                    <c:pt idx="0">
                      <c:v> $-  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{9AE3BE70-F72A-4350-893D-6DD85120EAF1}</c15:txfldGUID>
                      <c15:f>'Alt 3 - Tornado Chart'!$B$10</c15:f>
                      <c15:dlblFieldTableCache>
                        <c:ptCount val="1"/>
                        <c:pt idx="0">
                          <c:v> $-  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9B18-4BDD-9E3B-CA7ED0B25738}"/>
                </c:ext>
              </c:extLst>
            </c:dLbl>
            <c:dLbl>
              <c:idx val="2"/>
              <c:tx>
                <c:strRef>
                  <c:f>'Alt 3 - Tornado Chart'!$B$11</c:f>
                  <c:strCache>
                    <c:ptCount val="1"/>
                    <c:pt idx="0">
                      <c:v> $56,940.00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{65C832DE-B095-4928-9235-FD5468541E37}</c15:txfldGUID>
                      <c15:f>'Alt 3 - Tornado Chart'!$B$11</c15:f>
                      <c15:dlblFieldTableCache>
                        <c:ptCount val="1"/>
                        <c:pt idx="0">
                          <c:v> $56,940.00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9B18-4BDD-9E3B-CA7ED0B25738}"/>
                </c:ext>
              </c:extLst>
            </c:dLbl>
            <c:dLbl>
              <c:idx val="3"/>
              <c:tx>
                <c:strRef>
                  <c:f>'Alt 3 - Tornado Chart'!$B$12</c:f>
                  <c:strCache>
                    <c:ptCount val="1"/>
                    <c:pt idx="0">
                      <c:v> $-  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{33E0342F-2DE5-4FA3-ABD0-00E22F128E0D}</c15:txfldGUID>
                      <c15:f>'Alt 3 - Tornado Chart'!$B$12</c15:f>
                      <c15:dlblFieldTableCache>
                        <c:ptCount val="1"/>
                        <c:pt idx="0">
                          <c:v> $-  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9B18-4BDD-9E3B-CA7ED0B25738}"/>
                </c:ext>
              </c:extLst>
            </c:dLbl>
            <c:dLbl>
              <c:idx val="4"/>
              <c:tx>
                <c:strRef>
                  <c:f>'Alt 3 - Tornado Chart'!$B$13</c:f>
                  <c:strCache>
                    <c:ptCount val="1"/>
                    <c:pt idx="0">
                      <c:v>-$5,307.68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{EBB6521A-55F4-4A8B-BB17-C2013DF02F07}</c15:txfldGUID>
                      <c15:f>'Alt 3 - Tornado Chart'!$B$13</c15:f>
                      <c15:dlblFieldTableCache>
                        <c:ptCount val="1"/>
                        <c:pt idx="0">
                          <c:v>-$5,307.68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9B18-4BDD-9E3B-CA7ED0B25738}"/>
                </c:ext>
              </c:extLst>
            </c:dLbl>
            <c:dLbl>
              <c:idx val="5"/>
              <c:tx>
                <c:strRef>
                  <c:f>'Alt 3 - Tornado Chart'!$B$14</c:f>
                  <c:strCache>
                    <c:ptCount val="1"/>
                    <c:pt idx="0">
                      <c:v>-$14,600.00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{51F4523B-6A73-460B-AF2E-E920B0225B87}</c15:txfldGUID>
                      <c15:f>'Alt 3 - Tornado Chart'!$B$14</c15:f>
                      <c15:dlblFieldTableCache>
                        <c:ptCount val="1"/>
                        <c:pt idx="0">
                          <c:v>-$14,600.00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9B18-4BDD-9E3B-CA7ED0B25738}"/>
                </c:ext>
              </c:extLst>
            </c:dLbl>
            <c:dLbl>
              <c:idx val="6"/>
              <c:tx>
                <c:strRef>
                  <c:f>'Alt 3 - Tornado Chart'!$B$15</c:f>
                  <c:strCache>
                    <c:ptCount val="1"/>
                    <c:pt idx="0">
                      <c:v> $323,073.30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{F03B3EFB-4D2B-42FC-8821-D7CAC97A66C6}</c15:txfldGUID>
                      <c15:f>'Alt 3 - Tornado Chart'!$B$15</c15:f>
                      <c15:dlblFieldTableCache>
                        <c:ptCount val="1"/>
                        <c:pt idx="0">
                          <c:v> $323,073.30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9B18-4BDD-9E3B-CA7ED0B25738}"/>
                </c:ext>
              </c:extLst>
            </c:dLbl>
            <c:dLbl>
              <c:idx val="7"/>
              <c:tx>
                <c:strRef>
                  <c:f>'Alt 3 - Tornado Chart'!$B$16</c:f>
                  <c:strCache>
                    <c:ptCount val="1"/>
                    <c:pt idx="0">
                      <c:v>-$271,309.18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{9CE362F4-D2A9-46CE-8B8D-C9F3E5C0B977}</c15:txfldGUID>
                      <c15:f>'Alt 3 - Tornado Chart'!$B$16</c15:f>
                      <c15:dlblFieldTableCache>
                        <c:ptCount val="1"/>
                        <c:pt idx="0">
                          <c:v>-$271,309.18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9B18-4BDD-9E3B-CA7ED0B257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'Alt 3 - Tornado Chart'!$A$9:$A$16</c:f>
              <c:strCache>
                <c:ptCount val="8"/>
                <c:pt idx="0">
                  <c:v>Initial Investment</c:v>
                </c:pt>
                <c:pt idx="1">
                  <c:v>Annual Benefit</c:v>
                </c:pt>
                <c:pt idx="2">
                  <c:v>MV at EoY 3</c:v>
                </c:pt>
                <c:pt idx="3">
                  <c:v>Initial One-Off Grant Subsidy</c:v>
                </c:pt>
                <c:pt idx="4">
                  <c:v>Shrinkage Cost</c:v>
                </c:pt>
                <c:pt idx="5">
                  <c:v>Manpower Cost</c:v>
                </c:pt>
                <c:pt idx="6">
                  <c:v>Annual Sales</c:v>
                </c:pt>
                <c:pt idx="7">
                  <c:v>O&amp;M Cost</c:v>
                </c:pt>
              </c:strCache>
            </c:strRef>
          </c:cat>
          <c:val>
            <c:numRef>
              <c:f>'Alt 3 - Tornado Chart'!$E$9:$E$16</c:f>
              <c:numCache>
                <c:formatCode>_("$"* #,##0.00_);_("$"* \(#,##0.00\);_("$"* "-"??_);_(@_)</c:formatCode>
                <c:ptCount val="8"/>
                <c:pt idx="0">
                  <c:v>-1341566.69</c:v>
                </c:pt>
                <c:pt idx="1">
                  <c:v>-601121.9</c:v>
                </c:pt>
                <c:pt idx="2">
                  <c:v>-502828.75</c:v>
                </c:pt>
                <c:pt idx="3">
                  <c:v>-529066.68999999994</c:v>
                </c:pt>
                <c:pt idx="4">
                  <c:v>-495853.69</c:v>
                </c:pt>
                <c:pt idx="5">
                  <c:v>-494580.25</c:v>
                </c:pt>
                <c:pt idx="6">
                  <c:v>-491566.69</c:v>
                </c:pt>
                <c:pt idx="7">
                  <c:v>-491566.69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18-4BDD-9E3B-CA7ED0B25738}"/>
            </c:ext>
          </c:extLst>
        </c:ser>
        <c:ser>
          <c:idx val="1"/>
          <c:order val="1"/>
          <c:tx>
            <c:v>Bars on Right</c:v>
          </c:tx>
          <c:spPr>
            <a:solidFill>
              <a:srgbClr val="000000"/>
            </a:solidFill>
          </c:spPr>
          <c:invertIfNegative val="0"/>
          <c:dLbls>
            <c:dLbl>
              <c:idx val="0"/>
              <c:tx>
                <c:strRef>
                  <c:f>'Alt 3 - Tornado Chart'!$D$9</c:f>
                  <c:strCache>
                    <c:ptCount val="1"/>
                    <c:pt idx="0">
                      <c:v>-$94,900.00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{11020C6B-7281-4E41-8831-8452640774F7}</c15:txfldGUID>
                      <c15:f>'Alt 3 - Tornado Chart'!$D$9</c15:f>
                      <c15:dlblFieldTableCache>
                        <c:ptCount val="1"/>
                        <c:pt idx="0">
                          <c:v>-$94,900.00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9B18-4BDD-9E3B-CA7ED0B25738}"/>
                </c:ext>
              </c:extLst>
            </c:dLbl>
            <c:dLbl>
              <c:idx val="1"/>
              <c:tx>
                <c:strRef>
                  <c:f>'Alt 3 - Tornado Chart'!$D$10</c:f>
                  <c:strCache>
                    <c:ptCount val="1"/>
                    <c:pt idx="0">
                      <c:v> $180,000.00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{95032A67-B3E8-45FC-AD65-11C1F7040941}</c15:txfldGUID>
                      <c15:f>'Alt 3 - Tornado Chart'!$D$10</c15:f>
                      <c15:dlblFieldTableCache>
                        <c:ptCount val="1"/>
                        <c:pt idx="0">
                          <c:v> $180,000.00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9B18-4BDD-9E3B-CA7ED0B25738}"/>
                </c:ext>
              </c:extLst>
            </c:dLbl>
            <c:dLbl>
              <c:idx val="2"/>
              <c:tx>
                <c:strRef>
                  <c:f>'Alt 3 - Tornado Chart'!$D$11</c:f>
                  <c:strCache>
                    <c:ptCount val="1"/>
                    <c:pt idx="0">
                      <c:v> $400,000.00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{6E390105-1E15-41E6-8726-28F8DD5B2B30}</c15:txfldGUID>
                      <c15:f>'Alt 3 - Tornado Chart'!$D$11</c15:f>
                      <c15:dlblFieldTableCache>
                        <c:ptCount val="1"/>
                        <c:pt idx="0">
                          <c:v> $400,000.00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9B18-4BDD-9E3B-CA7ED0B25738}"/>
                </c:ext>
              </c:extLst>
            </c:dLbl>
            <c:dLbl>
              <c:idx val="3"/>
              <c:tx>
                <c:strRef>
                  <c:f>'Alt 3 - Tornado Chart'!$D$12</c:f>
                  <c:strCache>
                    <c:ptCount val="1"/>
                    <c:pt idx="0">
                      <c:v> $47,450.00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{C5EF74A8-D64C-48DE-9B73-79246CC701D8}</c15:txfldGUID>
                      <c15:f>'Alt 3 - Tornado Chart'!$D$12</c15:f>
                      <c15:dlblFieldTableCache>
                        <c:ptCount val="1"/>
                        <c:pt idx="0">
                          <c:v> $47,450.00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9B18-4BDD-9E3B-CA7ED0B25738}"/>
                </c:ext>
              </c:extLst>
            </c:dLbl>
            <c:dLbl>
              <c:idx val="4"/>
              <c:tx>
                <c:strRef>
                  <c:f>'Alt 3 - Tornado Chart'!$D$13</c:f>
                  <c:strCache>
                    <c:ptCount val="1"/>
                    <c:pt idx="0">
                      <c:v>$0.00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{DB4E19C3-A0A2-4986-B6C1-681E126E1E5A}</c15:txfldGUID>
                      <c15:f>'Alt 3 - Tornado Chart'!$D$13</c15:f>
                      <c15:dlblFieldTableCache>
                        <c:ptCount val="1"/>
                        <c:pt idx="0">
                          <c:v>$0.00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9B18-4BDD-9E3B-CA7ED0B25738}"/>
                </c:ext>
              </c:extLst>
            </c:dLbl>
            <c:dLbl>
              <c:idx val="5"/>
              <c:tx>
                <c:strRef>
                  <c:f>'Alt 3 - Tornado Chart'!$D$14</c:f>
                  <c:strCache>
                    <c:ptCount val="1"/>
                    <c:pt idx="0">
                      <c:v>-$11,680.00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{D95CF24D-A838-4515-A0BE-2157EE7C631B}</c15:txfldGUID>
                      <c15:f>'Alt 3 - Tornado Chart'!$D$14</c15:f>
                      <c15:dlblFieldTableCache>
                        <c:ptCount val="1"/>
                        <c:pt idx="0">
                          <c:v>-$11,680.00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9B18-4BDD-9E3B-CA7ED0B25738}"/>
                </c:ext>
              </c:extLst>
            </c:dLbl>
            <c:dLbl>
              <c:idx val="6"/>
              <c:tx>
                <c:strRef>
                  <c:f>'Alt 3 - Tornado Chart'!$D$15</c:f>
                  <c:strCache>
                    <c:ptCount val="1"/>
                    <c:pt idx="0">
                      <c:v> $1,800,000.00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{6A74C87C-1DB7-4BC1-AEDC-C4CEC85FF8B2}</c15:txfldGUID>
                      <c15:f>'Alt 3 - Tornado Chart'!$D$15</c15:f>
                      <c15:dlblFieldTableCache>
                        <c:ptCount val="1"/>
                        <c:pt idx="0">
                          <c:v> $1,800,000.00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9B18-4BDD-9E3B-CA7ED0B25738}"/>
                </c:ext>
              </c:extLst>
            </c:dLbl>
            <c:dLbl>
              <c:idx val="7"/>
              <c:tx>
                <c:strRef>
                  <c:f>'Alt 3 - Tornado Chart'!$D$16</c:f>
                  <c:strCache>
                    <c:ptCount val="1"/>
                    <c:pt idx="0">
                      <c:v>-$230,078.86 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{68D84881-2016-41B7-9D63-EF71AD4537D8}</c15:txfldGUID>
                      <c15:f>'Alt 3 - Tornado Chart'!$D$16</c15:f>
                      <c15:dlblFieldTableCache>
                        <c:ptCount val="1"/>
                        <c:pt idx="0">
                          <c:v>-$230,078.86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9B18-4BDD-9E3B-CA7ED0B257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'Alt 3 - Tornado Chart'!$A$9:$A$16</c:f>
              <c:strCache>
                <c:ptCount val="8"/>
                <c:pt idx="0">
                  <c:v>Initial Investment</c:v>
                </c:pt>
                <c:pt idx="1">
                  <c:v>Annual Benefit</c:v>
                </c:pt>
                <c:pt idx="2">
                  <c:v>MV at EoY 3</c:v>
                </c:pt>
                <c:pt idx="3">
                  <c:v>Initial One-Off Grant Subsidy</c:v>
                </c:pt>
                <c:pt idx="4">
                  <c:v>Shrinkage Cost</c:v>
                </c:pt>
                <c:pt idx="5">
                  <c:v>Manpower Cost</c:v>
                </c:pt>
                <c:pt idx="6">
                  <c:v>Annual Sales</c:v>
                </c:pt>
                <c:pt idx="7">
                  <c:v>O&amp;M Cost</c:v>
                </c:pt>
              </c:strCache>
            </c:strRef>
          </c:cat>
          <c:val>
            <c:numRef>
              <c:f>'Alt 3 - Tornado Chart'!$G$9:$G$16</c:f>
              <c:numCache>
                <c:formatCode>_("$"* #,##0.00_);_("$"* \(#,##0.00\);_("$"* "-"??_);_(@_)</c:formatCode>
                <c:ptCount val="8"/>
                <c:pt idx="0">
                  <c:v>-436466.69</c:v>
                </c:pt>
                <c:pt idx="1">
                  <c:v>-229586.21</c:v>
                </c:pt>
                <c:pt idx="2">
                  <c:v>-288899.52</c:v>
                </c:pt>
                <c:pt idx="3">
                  <c:v>-481616.69</c:v>
                </c:pt>
                <c:pt idx="4" formatCode="&quot;$&quot;#,##0.00_);\(&quot;$&quot;#,##0.00\)">
                  <c:v>-484898.17</c:v>
                </c:pt>
                <c:pt idx="5" formatCode="&quot;$&quot;#,##0.00_);\(&quot;$&quot;#,##0.00\)">
                  <c:v>-488553.12</c:v>
                </c:pt>
                <c:pt idx="6">
                  <c:v>-491566.69</c:v>
                </c:pt>
                <c:pt idx="7">
                  <c:v>-491566.69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18-4BDD-9E3B-CA7ED0B25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overlap val="100"/>
        <c:axId val="1971910192"/>
        <c:axId val="1380520624"/>
      </c:barChart>
      <c:catAx>
        <c:axId val="19719101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/>
            </a:pPr>
            <a:endParaRPr lang="en-US"/>
          </a:p>
        </c:txPr>
        <c:crossAx val="1380520624"/>
        <c:crossesAt val="-491566.6876"/>
        <c:auto val="0"/>
        <c:lblAlgn val="ctr"/>
        <c:lblOffset val="100"/>
        <c:noMultiLvlLbl val="0"/>
      </c:catAx>
      <c:valAx>
        <c:axId val="1380520624"/>
        <c:scaling>
          <c:orientation val="minMax"/>
          <c:max val="-100000"/>
          <c:min val="-1500000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/>
                </a:pPr>
                <a:r>
                  <a:rPr lang="en-US" sz="1000" b="0" i="0"/>
                  <a:t>After-Tax PW</a:t>
                </a:r>
              </a:p>
            </c:rich>
          </c:tx>
          <c:overlay val="0"/>
        </c:title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550"/>
            </a:pPr>
            <a:endParaRPr lang="en-US"/>
          </a:p>
        </c:txPr>
        <c:crossAx val="1971910192"/>
        <c:crosses val="max"/>
        <c:crossBetween val="between"/>
        <c:majorUnit val="100000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Rainbow Diagram for PW vs. Initial Cost of Alternative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'Break-Even Analysis'!$C$6</c:f>
              <c:strCache>
                <c:ptCount val="1"/>
                <c:pt idx="0">
                  <c:v>PW(Alt 1)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'Break-Even Analysis'!$B$7:$B$16</c:f>
              <c:numCache>
                <c:formatCode>_-[$$-4809]* #,##0.00_-;\-[$$-4809]* #,##0.00_-;_-[$$-4809]* "-"??_-;_-@_-</c:formatCode>
                <c:ptCount val="10"/>
                <c:pt idx="0">
                  <c:v>-5466</c:v>
                </c:pt>
                <c:pt idx="1">
                  <c:v>4534</c:v>
                </c:pt>
                <c:pt idx="2">
                  <c:v>14534</c:v>
                </c:pt>
                <c:pt idx="3">
                  <c:v>24534</c:v>
                </c:pt>
                <c:pt idx="4">
                  <c:v>34534</c:v>
                </c:pt>
                <c:pt idx="5">
                  <c:v>44534</c:v>
                </c:pt>
                <c:pt idx="6">
                  <c:v>54534</c:v>
                </c:pt>
                <c:pt idx="7">
                  <c:v>64534</c:v>
                </c:pt>
                <c:pt idx="8">
                  <c:v>74534</c:v>
                </c:pt>
                <c:pt idx="9">
                  <c:v>84534</c:v>
                </c:pt>
              </c:numCache>
            </c:numRef>
          </c:cat>
          <c:val>
            <c:numRef>
              <c:f>'Break-Even Analysis'!$C$7:$C$16</c:f>
              <c:numCache>
                <c:formatCode>_-[$$-4809]* #,##0.00_-;\-[$$-4809]* #,##0.00_-;_-[$$-4809]* "-"??_-;_-@_-</c:formatCode>
                <c:ptCount val="10"/>
                <c:pt idx="0">
                  <c:v>93556.207648792813</c:v>
                </c:pt>
                <c:pt idx="1">
                  <c:v>97504.930413631271</c:v>
                </c:pt>
                <c:pt idx="2">
                  <c:v>101453.65317846974</c:v>
                </c:pt>
                <c:pt idx="3">
                  <c:v>105402.3759433082</c:v>
                </c:pt>
                <c:pt idx="4">
                  <c:v>109351.09870814669</c:v>
                </c:pt>
                <c:pt idx="5">
                  <c:v>113299.82147298515</c:v>
                </c:pt>
                <c:pt idx="6">
                  <c:v>117248.54423782362</c:v>
                </c:pt>
                <c:pt idx="7">
                  <c:v>121197.26700266209</c:v>
                </c:pt>
                <c:pt idx="8">
                  <c:v>125145.98976750055</c:v>
                </c:pt>
                <c:pt idx="9">
                  <c:v>129094.71253233902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A0-4F42-ABA9-E9A5C2EE921D}"/>
            </c:ext>
          </c:extLst>
        </c:ser>
        <c:ser>
          <c:idx val="1"/>
          <c:order val="1"/>
          <c:tx>
            <c:strRef>
              <c:f>'Break-Even Analysis'!$D$6</c:f>
              <c:strCache>
                <c:ptCount val="1"/>
                <c:pt idx="0">
                  <c:v>PW(Alt 2)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'Break-Even Analysis'!$B$7:$B$16</c:f>
              <c:numCache>
                <c:formatCode>_-[$$-4809]* #,##0.00_-;\-[$$-4809]* #,##0.00_-;_-[$$-4809]* "-"??_-;_-@_-</c:formatCode>
                <c:ptCount val="10"/>
                <c:pt idx="0">
                  <c:v>-5466</c:v>
                </c:pt>
                <c:pt idx="1">
                  <c:v>4534</c:v>
                </c:pt>
                <c:pt idx="2">
                  <c:v>14534</c:v>
                </c:pt>
                <c:pt idx="3">
                  <c:v>24534</c:v>
                </c:pt>
                <c:pt idx="4">
                  <c:v>34534</c:v>
                </c:pt>
                <c:pt idx="5">
                  <c:v>44534</c:v>
                </c:pt>
                <c:pt idx="6">
                  <c:v>54534</c:v>
                </c:pt>
                <c:pt idx="7">
                  <c:v>64534</c:v>
                </c:pt>
                <c:pt idx="8">
                  <c:v>74534</c:v>
                </c:pt>
                <c:pt idx="9">
                  <c:v>84534</c:v>
                </c:pt>
              </c:numCache>
            </c:numRef>
          </c:cat>
          <c:val>
            <c:numRef>
              <c:f>'Break-Even Analysis'!$D$7:$D$16</c:f>
              <c:numCache>
                <c:formatCode>_-[$$-4809]* #,##0.00_-;\-[$$-4809]* #,##0.00_-;_-[$$-4809]* "-"??_-;_-@_-</c:formatCode>
                <c:ptCount val="10"/>
                <c:pt idx="0">
                  <c:v>117009.82612146874</c:v>
                </c:pt>
                <c:pt idx="1">
                  <c:v>117009.82612146874</c:v>
                </c:pt>
                <c:pt idx="2">
                  <c:v>117009.82612146874</c:v>
                </c:pt>
                <c:pt idx="3">
                  <c:v>117009.82612146874</c:v>
                </c:pt>
                <c:pt idx="4">
                  <c:v>117009.82612146874</c:v>
                </c:pt>
                <c:pt idx="5">
                  <c:v>117009.82612146874</c:v>
                </c:pt>
                <c:pt idx="6">
                  <c:v>117009.82612146874</c:v>
                </c:pt>
                <c:pt idx="7">
                  <c:v>117009.82612146874</c:v>
                </c:pt>
                <c:pt idx="8">
                  <c:v>117009.82612146874</c:v>
                </c:pt>
                <c:pt idx="9">
                  <c:v>117009.82612146874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A0-4F42-ABA9-E9A5C2EE9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6626687"/>
        <c:axId val="1243507136"/>
      </c:lineChart>
      <c:catAx>
        <c:axId val="1466626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Initial Investment Cost of Alternative 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809]* #,##0.00_-;\-[$$-4809]* #,##0.00_-;_-[$$-4809]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507136"/>
        <c:crosses val="autoZero"/>
        <c:auto val="1"/>
        <c:lblAlgn val="ctr"/>
        <c:lblOffset val="100"/>
        <c:noMultiLvlLbl val="0"/>
      </c:catAx>
      <c:valAx>
        <c:axId val="124350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PW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809]* #,##0.00_-;\-[$$-4809]* #,##0.00_-;_-[$$-4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626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Rainbow Diagram for PW vs. Initial Cost of Alternative 3</a:t>
            </a:r>
          </a:p>
        </c:rich>
      </c:tx>
      <c:layout>
        <c:manualLayout>
          <c:xMode val="edge"/>
          <c:yMode val="edge"/>
          <c:x val="0.16574739622539783"/>
          <c:y val="2.4170211578165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'Break-Even Analysis'!$J$6</c:f>
              <c:strCache>
                <c:ptCount val="1"/>
                <c:pt idx="0">
                  <c:v>PW(Alt 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'Break-Even Analysis'!$I$7:$I$13</c:f>
              <c:numCache>
                <c:formatCode>_-[$$-4809]* #,##0.00_-;\-[$$-4809]* #,##0.00_-;_-[$$-4809]* "-"??_-;_-@_-</c:formatCode>
                <c:ptCount val="7"/>
                <c:pt idx="0">
                  <c:v>-150000</c:v>
                </c:pt>
                <c:pt idx="1">
                  <c:v>-50000</c:v>
                </c:pt>
                <c:pt idx="2">
                  <c:v>50000</c:v>
                </c:pt>
                <c:pt idx="3">
                  <c:v>150000</c:v>
                </c:pt>
                <c:pt idx="4">
                  <c:v>250000</c:v>
                </c:pt>
                <c:pt idx="5">
                  <c:v>350000</c:v>
                </c:pt>
                <c:pt idx="6">
                  <c:v>450000</c:v>
                </c:pt>
              </c:numCache>
            </c:numRef>
          </c:cat>
          <c:val>
            <c:numRef>
              <c:f>'Break-Even Analysis'!$J$7:$J$13</c:f>
              <c:numCache>
                <c:formatCode>_-[$$-4809]* #,##0.00_-;\-[$$-4809]* #,##0.00_-;_-[$$-4809]* "-"??_-;_-@_-</c:formatCode>
                <c:ptCount val="7"/>
                <c:pt idx="0">
                  <c:v>-495853.69396256562</c:v>
                </c:pt>
                <c:pt idx="1">
                  <c:v>-495853.69396256562</c:v>
                </c:pt>
                <c:pt idx="2">
                  <c:v>-495853.69396256562</c:v>
                </c:pt>
                <c:pt idx="3">
                  <c:v>-495853.69396256562</c:v>
                </c:pt>
                <c:pt idx="4">
                  <c:v>-495853.69396256562</c:v>
                </c:pt>
                <c:pt idx="5">
                  <c:v>-495853.69396256562</c:v>
                </c:pt>
                <c:pt idx="6">
                  <c:v>-495853.69396256562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3E-421A-9E27-FB73FE88432B}"/>
            </c:ext>
          </c:extLst>
        </c:ser>
        <c:ser>
          <c:idx val="1"/>
          <c:order val="1"/>
          <c:tx>
            <c:strRef>
              <c:f>'Break-Even Analysis'!$K$6</c:f>
              <c:strCache>
                <c:ptCount val="1"/>
                <c:pt idx="0">
                  <c:v>PW(Alt 1)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'Break-Even Analysis'!$I$7:$I$13</c:f>
              <c:numCache>
                <c:formatCode>_-[$$-4809]* #,##0.00_-;\-[$$-4809]* #,##0.00_-;_-[$$-4809]* "-"??_-;_-@_-</c:formatCode>
                <c:ptCount val="7"/>
                <c:pt idx="0">
                  <c:v>-150000</c:v>
                </c:pt>
                <c:pt idx="1">
                  <c:v>-50000</c:v>
                </c:pt>
                <c:pt idx="2">
                  <c:v>50000</c:v>
                </c:pt>
                <c:pt idx="3">
                  <c:v>150000</c:v>
                </c:pt>
                <c:pt idx="4">
                  <c:v>250000</c:v>
                </c:pt>
                <c:pt idx="5">
                  <c:v>350000</c:v>
                </c:pt>
                <c:pt idx="6">
                  <c:v>450000</c:v>
                </c:pt>
              </c:numCache>
            </c:numRef>
          </c:cat>
          <c:val>
            <c:numRef>
              <c:f>'Break-Even Analysis'!$K$7:$K$13</c:f>
              <c:numCache>
                <c:formatCode>_-[$$-4809]* #,##0.00_-;\-[$$-4809]* #,##0.00_-;_-[$$-4809]* "-"??_-;_-@_-</c:formatCode>
                <c:ptCount val="7"/>
                <c:pt idx="0">
                  <c:v>93556.207648792813</c:v>
                </c:pt>
                <c:pt idx="1">
                  <c:v>93556.207648792813</c:v>
                </c:pt>
                <c:pt idx="2">
                  <c:v>93556.207648792813</c:v>
                </c:pt>
                <c:pt idx="3">
                  <c:v>93556.207648792813</c:v>
                </c:pt>
                <c:pt idx="4">
                  <c:v>93556.207648792813</c:v>
                </c:pt>
                <c:pt idx="5">
                  <c:v>93556.207648792813</c:v>
                </c:pt>
                <c:pt idx="6">
                  <c:v>93556.207648792813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3E-421A-9E27-FB73FE884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071839"/>
        <c:axId val="104071359"/>
      </c:lineChart>
      <c:catAx>
        <c:axId val="104071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Initial Investment Cost of Alternative 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809]* #,##0.00_-;\-[$$-4809]* #,##0.00_-;_-[$$-4809]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71359"/>
        <c:crosses val="autoZero"/>
        <c:auto val="1"/>
        <c:lblAlgn val="ctr"/>
        <c:lblOffset val="100"/>
        <c:noMultiLvlLbl val="0"/>
      </c:catAx>
      <c:valAx>
        <c:axId val="10407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PW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809]* #,##0.00_-;\-[$$-4809]* #,##0.00_-;_-[$$-4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71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Rainbow Diagram for PW vs. Initial Cost of Alternative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'Break-Even Analysis'!$Q$6</c:f>
              <c:strCache>
                <c:ptCount val="1"/>
                <c:pt idx="0">
                  <c:v>PW(Alt 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'Break-Even Analysis'!$P$7:$P$13</c:f>
              <c:numCache>
                <c:formatCode>_-[$$-4809]* #,##0.00_-;\-[$$-4809]* #,##0.00_-;_-[$$-4809]* "-"??_-;_-@_-</c:formatCode>
                <c:ptCount val="7"/>
                <c:pt idx="0">
                  <c:v>-150000</c:v>
                </c:pt>
                <c:pt idx="1">
                  <c:v>-50000</c:v>
                </c:pt>
                <c:pt idx="2">
                  <c:v>50000</c:v>
                </c:pt>
                <c:pt idx="3">
                  <c:v>150000</c:v>
                </c:pt>
                <c:pt idx="4">
                  <c:v>250000</c:v>
                </c:pt>
                <c:pt idx="5">
                  <c:v>350000</c:v>
                </c:pt>
                <c:pt idx="6">
                  <c:v>450000</c:v>
                </c:pt>
              </c:numCache>
            </c:numRef>
          </c:cat>
          <c:val>
            <c:numRef>
              <c:f>'Break-Even Analysis'!$Q$7:$Q$13</c:f>
              <c:numCache>
                <c:formatCode>_-[$$-4809]* #,##0.00_-;\-[$$-4809]* #,##0.00_-;_-[$$-4809]* "-"??_-;_-@_-</c:formatCode>
                <c:ptCount val="7"/>
                <c:pt idx="0">
                  <c:v>-495853.69396256562</c:v>
                </c:pt>
                <c:pt idx="1">
                  <c:v>-462602.37916166411</c:v>
                </c:pt>
                <c:pt idx="2">
                  <c:v>-429351.06436076254</c:v>
                </c:pt>
                <c:pt idx="3">
                  <c:v>-396099.74955986085</c:v>
                </c:pt>
                <c:pt idx="4">
                  <c:v>-362848.43475895928</c:v>
                </c:pt>
                <c:pt idx="5">
                  <c:v>-329597.11995805777</c:v>
                </c:pt>
                <c:pt idx="6">
                  <c:v>-296345.80515715614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5A-4B2D-AF63-EB576C03BF3A}"/>
            </c:ext>
          </c:extLst>
        </c:ser>
        <c:ser>
          <c:idx val="1"/>
          <c:order val="1"/>
          <c:tx>
            <c:strRef>
              <c:f>'Break-Even Analysis'!$R$6</c:f>
              <c:strCache>
                <c:ptCount val="1"/>
                <c:pt idx="0">
                  <c:v>PW(Alt 2)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'Break-Even Analysis'!$P$7:$P$13</c:f>
              <c:numCache>
                <c:formatCode>_-[$$-4809]* #,##0.00_-;\-[$$-4809]* #,##0.00_-;_-[$$-4809]* "-"??_-;_-@_-</c:formatCode>
                <c:ptCount val="7"/>
                <c:pt idx="0">
                  <c:v>-150000</c:v>
                </c:pt>
                <c:pt idx="1">
                  <c:v>-50000</c:v>
                </c:pt>
                <c:pt idx="2">
                  <c:v>50000</c:v>
                </c:pt>
                <c:pt idx="3">
                  <c:v>150000</c:v>
                </c:pt>
                <c:pt idx="4">
                  <c:v>250000</c:v>
                </c:pt>
                <c:pt idx="5">
                  <c:v>350000</c:v>
                </c:pt>
                <c:pt idx="6">
                  <c:v>450000</c:v>
                </c:pt>
              </c:numCache>
            </c:numRef>
          </c:cat>
          <c:val>
            <c:numRef>
              <c:f>'Break-Even Analysis'!$R$7:$R$13</c:f>
              <c:numCache>
                <c:formatCode>_-[$$-4809]* #,##0.00_-;\-[$$-4809]* #,##0.00_-;_-[$$-4809]* "-"??_-;_-@_-</c:formatCode>
                <c:ptCount val="7"/>
                <c:pt idx="0">
                  <c:v>117009.82612146874</c:v>
                </c:pt>
                <c:pt idx="1">
                  <c:v>117009.82612146874</c:v>
                </c:pt>
                <c:pt idx="2">
                  <c:v>117009.82612146874</c:v>
                </c:pt>
                <c:pt idx="3">
                  <c:v>117009.82612146874</c:v>
                </c:pt>
                <c:pt idx="4">
                  <c:v>117009.82612146874</c:v>
                </c:pt>
                <c:pt idx="5">
                  <c:v>117009.82612146874</c:v>
                </c:pt>
                <c:pt idx="6">
                  <c:v>117009.82612146874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5A-4B2D-AF63-EB576C03B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8633024"/>
        <c:axId val="1238634464"/>
      </c:lineChart>
      <c:catAx>
        <c:axId val="1238633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Initial Investment Cost of Alternative 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809]* #,##0.00_-;\-[$$-4809]* #,##0.00_-;_-[$$-4809]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634464"/>
        <c:crosses val="autoZero"/>
        <c:auto val="1"/>
        <c:lblAlgn val="ctr"/>
        <c:lblOffset val="100"/>
        <c:noMultiLvlLbl val="0"/>
      </c:catAx>
      <c:valAx>
        <c:axId val="123863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PW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809]* #,##0.00_-;\-[$$-4809]* #,##0.00_-;_-[$$-4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63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Rainbow Diagram for PW vs. Annual Sales of Alternative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'Break-Even Analysis'!$X$6</c:f>
              <c:strCache>
                <c:ptCount val="1"/>
                <c:pt idx="0">
                  <c:v>PW(Alt 1)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'Break-Even Analysis'!$W$7:$W$16</c:f>
              <c:numCache>
                <c:formatCode>_-[$$-4809]* #,##0.00_-;\-[$$-4809]* #,##0.00_-;_-[$$-4809]* "-"??_-;_-@_-</c:formatCode>
                <c:ptCount val="10"/>
                <c:pt idx="0">
                  <c:v>1061536.6499999999</c:v>
                </c:pt>
                <c:pt idx="1">
                  <c:v>1081536.6499999999</c:v>
                </c:pt>
                <c:pt idx="2">
                  <c:v>1101536.6499999999</c:v>
                </c:pt>
                <c:pt idx="3">
                  <c:v>1121536.6499999999</c:v>
                </c:pt>
                <c:pt idx="4">
                  <c:v>1141536.6499999999</c:v>
                </c:pt>
                <c:pt idx="5">
                  <c:v>1161536.6499999999</c:v>
                </c:pt>
                <c:pt idx="6">
                  <c:v>1181536.6499999999</c:v>
                </c:pt>
                <c:pt idx="7">
                  <c:v>1201536.6499999999</c:v>
                </c:pt>
                <c:pt idx="8">
                  <c:v>1221536.6499999999</c:v>
                </c:pt>
                <c:pt idx="9">
                  <c:v>1241536.6499999999</c:v>
                </c:pt>
              </c:numCache>
            </c:numRef>
          </c:cat>
          <c:val>
            <c:numRef>
              <c:f>'Break-Even Analysis'!$X$7:$X$16</c:f>
              <c:numCache>
                <c:formatCode>_-[$$-4809]* #,##0.00_-;\-[$$-4809]* #,##0.00_-;_-[$$-4809]* "-"??_-;_-@_-</c:formatCode>
                <c:ptCount val="10"/>
                <c:pt idx="0">
                  <c:v>93556.207648792813</c:v>
                </c:pt>
                <c:pt idx="1">
                  <c:v>97058.963546614017</c:v>
                </c:pt>
                <c:pt idx="2">
                  <c:v>100561.71944443518</c:v>
                </c:pt>
                <c:pt idx="3">
                  <c:v>104064.47534225637</c:v>
                </c:pt>
                <c:pt idx="4">
                  <c:v>107567.23124007756</c:v>
                </c:pt>
                <c:pt idx="5">
                  <c:v>111069.98713789874</c:v>
                </c:pt>
                <c:pt idx="6">
                  <c:v>114572.74303571992</c:v>
                </c:pt>
                <c:pt idx="7">
                  <c:v>118075.49893354112</c:v>
                </c:pt>
                <c:pt idx="8">
                  <c:v>121578.25483136231</c:v>
                </c:pt>
                <c:pt idx="9">
                  <c:v>125081.0107291835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CD-4438-8113-71F45770FC4F}"/>
            </c:ext>
          </c:extLst>
        </c:ser>
        <c:ser>
          <c:idx val="1"/>
          <c:order val="1"/>
          <c:tx>
            <c:strRef>
              <c:f>'Break-Even Analysis'!$Y$6</c:f>
              <c:strCache>
                <c:ptCount val="1"/>
                <c:pt idx="0">
                  <c:v>PW(Alt 2)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'Break-Even Analysis'!$W$7:$W$16</c:f>
              <c:numCache>
                <c:formatCode>_-[$$-4809]* #,##0.00_-;\-[$$-4809]* #,##0.00_-;_-[$$-4809]* "-"??_-;_-@_-</c:formatCode>
                <c:ptCount val="10"/>
                <c:pt idx="0">
                  <c:v>1061536.6499999999</c:v>
                </c:pt>
                <c:pt idx="1">
                  <c:v>1081536.6499999999</c:v>
                </c:pt>
                <c:pt idx="2">
                  <c:v>1101536.6499999999</c:v>
                </c:pt>
                <c:pt idx="3">
                  <c:v>1121536.6499999999</c:v>
                </c:pt>
                <c:pt idx="4">
                  <c:v>1141536.6499999999</c:v>
                </c:pt>
                <c:pt idx="5">
                  <c:v>1161536.6499999999</c:v>
                </c:pt>
                <c:pt idx="6">
                  <c:v>1181536.6499999999</c:v>
                </c:pt>
                <c:pt idx="7">
                  <c:v>1201536.6499999999</c:v>
                </c:pt>
                <c:pt idx="8">
                  <c:v>1221536.6499999999</c:v>
                </c:pt>
                <c:pt idx="9">
                  <c:v>1241536.6499999999</c:v>
                </c:pt>
              </c:numCache>
            </c:numRef>
          </c:cat>
          <c:val>
            <c:numRef>
              <c:f>'Break-Even Analysis'!$Y$7:$Y$16</c:f>
              <c:numCache>
                <c:formatCode>_-[$$-4809]* #,##0.00_-;\-[$$-4809]* #,##0.00_-;_-[$$-4809]* "-"??_-;_-@_-</c:formatCode>
                <c:ptCount val="10"/>
                <c:pt idx="0">
                  <c:v>117009.82612146874</c:v>
                </c:pt>
                <c:pt idx="1">
                  <c:v>117009.82612146874</c:v>
                </c:pt>
                <c:pt idx="2">
                  <c:v>117009.82612146874</c:v>
                </c:pt>
                <c:pt idx="3">
                  <c:v>117009.82612146874</c:v>
                </c:pt>
                <c:pt idx="4">
                  <c:v>117009.82612146874</c:v>
                </c:pt>
                <c:pt idx="5">
                  <c:v>117009.82612146874</c:v>
                </c:pt>
                <c:pt idx="6">
                  <c:v>117009.82612146874</c:v>
                </c:pt>
                <c:pt idx="7">
                  <c:v>117009.82612146874</c:v>
                </c:pt>
                <c:pt idx="8">
                  <c:v>117009.82612146874</c:v>
                </c:pt>
                <c:pt idx="9">
                  <c:v>117009.82612146874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CD-4438-8113-71F45770F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20591"/>
        <c:axId val="113021071"/>
      </c:lineChart>
      <c:catAx>
        <c:axId val="113020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Annual Sales of Alternative 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809]* #,##0.00_-;\-[$$-4809]* #,##0.00_-;_-[$$-4809]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21071"/>
        <c:crosses val="autoZero"/>
        <c:auto val="1"/>
        <c:lblAlgn val="ctr"/>
        <c:lblOffset val="100"/>
        <c:noMultiLvlLbl val="0"/>
      </c:catAx>
      <c:valAx>
        <c:axId val="11302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PW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809]* #,##0.00_-;\-[$$-4809]* #,##0.00_-;_-[$$-4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20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Rainbow Diagram for PW vs. Annual Sales of Alternative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'Break-Even Analysis'!$AE$6</c:f>
              <c:strCache>
                <c:ptCount val="1"/>
                <c:pt idx="0">
                  <c:v>PW(Alt 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'Break-Even Analysis'!$AD$7:$AD$20</c:f>
              <c:numCache>
                <c:formatCode>_-[$$-4809]* #,##0.00_-;\-[$$-4809]* #,##0.00_-;_-[$$-4809]* "-"??_-;_-@_-</c:formatCode>
                <c:ptCount val="14"/>
                <c:pt idx="0">
                  <c:v>1061536.6499999999</c:v>
                </c:pt>
                <c:pt idx="1">
                  <c:v>1661536.65</c:v>
                </c:pt>
                <c:pt idx="2">
                  <c:v>2261536.65</c:v>
                </c:pt>
                <c:pt idx="3">
                  <c:v>2861536.65</c:v>
                </c:pt>
                <c:pt idx="4">
                  <c:v>3461536.65</c:v>
                </c:pt>
                <c:pt idx="5">
                  <c:v>4061536.65</c:v>
                </c:pt>
                <c:pt idx="6">
                  <c:v>4661536.6500000004</c:v>
                </c:pt>
                <c:pt idx="7">
                  <c:v>5261536.6500000004</c:v>
                </c:pt>
                <c:pt idx="8">
                  <c:v>5861536.6500000004</c:v>
                </c:pt>
                <c:pt idx="9">
                  <c:v>6461536.6500000004</c:v>
                </c:pt>
                <c:pt idx="10">
                  <c:v>7061536.6500000004</c:v>
                </c:pt>
                <c:pt idx="11">
                  <c:v>7661536.6500000004</c:v>
                </c:pt>
                <c:pt idx="12">
                  <c:v>8261536.6500000004</c:v>
                </c:pt>
                <c:pt idx="13">
                  <c:v>8861536.6500000004</c:v>
                </c:pt>
              </c:numCache>
            </c:numRef>
          </c:cat>
          <c:val>
            <c:numRef>
              <c:f>'Break-Even Analysis'!$AE$7:$AE$20</c:f>
              <c:numCache>
                <c:formatCode>_-[$$-4809]* #,##0.00_-;\-[$$-4809]* #,##0.00_-;_-[$$-4809]* "-"??_-;_-@_-</c:formatCode>
                <c:ptCount val="14"/>
                <c:pt idx="0">
                  <c:v>-495853.69396256562</c:v>
                </c:pt>
                <c:pt idx="1">
                  <c:v>-495853.69396256562</c:v>
                </c:pt>
                <c:pt idx="2">
                  <c:v>-495853.69396256562</c:v>
                </c:pt>
                <c:pt idx="3">
                  <c:v>-495853.69396256562</c:v>
                </c:pt>
                <c:pt idx="4">
                  <c:v>-495853.69396256562</c:v>
                </c:pt>
                <c:pt idx="5">
                  <c:v>-495853.69396256562</c:v>
                </c:pt>
                <c:pt idx="6">
                  <c:v>-495853.69396256562</c:v>
                </c:pt>
                <c:pt idx="7">
                  <c:v>-495853.69396256562</c:v>
                </c:pt>
                <c:pt idx="8">
                  <c:v>-495853.69396256562</c:v>
                </c:pt>
                <c:pt idx="9">
                  <c:v>-495853.69396256562</c:v>
                </c:pt>
                <c:pt idx="10">
                  <c:v>-495853.69396256562</c:v>
                </c:pt>
                <c:pt idx="11">
                  <c:v>-495853.69396256562</c:v>
                </c:pt>
                <c:pt idx="12">
                  <c:v>-495853.69396256562</c:v>
                </c:pt>
                <c:pt idx="13">
                  <c:v>-495853.69396256562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72-4134-8228-BFB16181BAA6}"/>
            </c:ext>
          </c:extLst>
        </c:ser>
        <c:ser>
          <c:idx val="1"/>
          <c:order val="1"/>
          <c:tx>
            <c:strRef>
              <c:f>'Break-Even Analysis'!$AF$6</c:f>
              <c:strCache>
                <c:ptCount val="1"/>
                <c:pt idx="0">
                  <c:v>PW(Alt 1)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'Break-Even Analysis'!$AD$7:$AD$20</c:f>
              <c:numCache>
                <c:formatCode>_-[$$-4809]* #,##0.00_-;\-[$$-4809]* #,##0.00_-;_-[$$-4809]* "-"??_-;_-@_-</c:formatCode>
                <c:ptCount val="14"/>
                <c:pt idx="0">
                  <c:v>1061536.6499999999</c:v>
                </c:pt>
                <c:pt idx="1">
                  <c:v>1661536.65</c:v>
                </c:pt>
                <c:pt idx="2">
                  <c:v>2261536.65</c:v>
                </c:pt>
                <c:pt idx="3">
                  <c:v>2861536.65</c:v>
                </c:pt>
                <c:pt idx="4">
                  <c:v>3461536.65</c:v>
                </c:pt>
                <c:pt idx="5">
                  <c:v>4061536.65</c:v>
                </c:pt>
                <c:pt idx="6">
                  <c:v>4661536.6500000004</c:v>
                </c:pt>
                <c:pt idx="7">
                  <c:v>5261536.6500000004</c:v>
                </c:pt>
                <c:pt idx="8">
                  <c:v>5861536.6500000004</c:v>
                </c:pt>
                <c:pt idx="9">
                  <c:v>6461536.6500000004</c:v>
                </c:pt>
                <c:pt idx="10">
                  <c:v>7061536.6500000004</c:v>
                </c:pt>
                <c:pt idx="11">
                  <c:v>7661536.6500000004</c:v>
                </c:pt>
                <c:pt idx="12">
                  <c:v>8261536.6500000004</c:v>
                </c:pt>
                <c:pt idx="13">
                  <c:v>8861536.6500000004</c:v>
                </c:pt>
              </c:numCache>
            </c:numRef>
          </c:cat>
          <c:val>
            <c:numRef>
              <c:f>'Break-Even Analysis'!$AF$7:$AF$20</c:f>
              <c:numCache>
                <c:formatCode>_-[$$-4809]* #,##0.00_-;\-[$$-4809]* #,##0.00_-;_-[$$-4809]* "-"??_-;_-@_-</c:formatCode>
                <c:ptCount val="14"/>
                <c:pt idx="0">
                  <c:v>93556.207648792813</c:v>
                </c:pt>
                <c:pt idx="1">
                  <c:v>93556.207648792813</c:v>
                </c:pt>
                <c:pt idx="2">
                  <c:v>93556.207648792813</c:v>
                </c:pt>
                <c:pt idx="3">
                  <c:v>93556.207648792813</c:v>
                </c:pt>
                <c:pt idx="4">
                  <c:v>93556.207648792813</c:v>
                </c:pt>
                <c:pt idx="5">
                  <c:v>93556.207648792813</c:v>
                </c:pt>
                <c:pt idx="6">
                  <c:v>93556.207648792813</c:v>
                </c:pt>
                <c:pt idx="7">
                  <c:v>93556.207648792813</c:v>
                </c:pt>
                <c:pt idx="8">
                  <c:v>93556.207648792813</c:v>
                </c:pt>
                <c:pt idx="9">
                  <c:v>93556.207648792813</c:v>
                </c:pt>
                <c:pt idx="10">
                  <c:v>93556.207648792813</c:v>
                </c:pt>
                <c:pt idx="11">
                  <c:v>93556.207648792813</c:v>
                </c:pt>
                <c:pt idx="12">
                  <c:v>93556.207648792813</c:v>
                </c:pt>
                <c:pt idx="13">
                  <c:v>93556.207648792813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72-4134-8228-BFB16181B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7771855"/>
        <c:axId val="111961615"/>
      </c:lineChart>
      <c:catAx>
        <c:axId val="1787771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Annual Sales of Alternative 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809]* #,##0.00_-;\-[$$-4809]* #,##0.00_-;_-[$$-4809]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61615"/>
        <c:crosses val="autoZero"/>
        <c:auto val="1"/>
        <c:lblAlgn val="ctr"/>
        <c:lblOffset val="100"/>
        <c:noMultiLvlLbl val="0"/>
      </c:catAx>
      <c:valAx>
        <c:axId val="11196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PW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809]* #,##0.00_-;\-[$$-4809]* #,##0.00_-;_-[$$-4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77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Rainbow Diagram for PW vs. Annual Sales of Alternative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'Break-Even Analysis'!$AM$6</c:f>
              <c:strCache>
                <c:ptCount val="1"/>
                <c:pt idx="0">
                  <c:v>PW(Alt 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'Break-Even Analysis'!$AL$7:$AL$13</c:f>
              <c:numCache>
                <c:formatCode>_-[$$-4809]* #,##0.00_-;\-[$$-4809]* #,##0.00_-;_-[$$-4809]* "-"??_-;_-@_-</c:formatCode>
                <c:ptCount val="7"/>
                <c:pt idx="0">
                  <c:v>1061536.6499999999</c:v>
                </c:pt>
                <c:pt idx="1">
                  <c:v>2561536.65</c:v>
                </c:pt>
                <c:pt idx="2">
                  <c:v>4061536.65</c:v>
                </c:pt>
                <c:pt idx="3">
                  <c:v>5561536.6500000004</c:v>
                </c:pt>
                <c:pt idx="4">
                  <c:v>7061536.6500000004</c:v>
                </c:pt>
                <c:pt idx="5">
                  <c:v>8561536.6500000004</c:v>
                </c:pt>
                <c:pt idx="6">
                  <c:v>10061536.65</c:v>
                </c:pt>
              </c:numCache>
            </c:numRef>
          </c:cat>
          <c:val>
            <c:numRef>
              <c:f>'Break-Even Analysis'!$AM$7:$AM$13</c:f>
              <c:numCache>
                <c:formatCode>_-[$$-4809]* #,##0.00_-;\-[$$-4809]* #,##0.00_-;_-[$$-4809]* "-"??_-;_-@_-</c:formatCode>
                <c:ptCount val="7"/>
                <c:pt idx="0">
                  <c:v>-495853.69396256562</c:v>
                </c:pt>
                <c:pt idx="1">
                  <c:v>-341047.15</c:v>
                </c:pt>
                <c:pt idx="2">
                  <c:v>-186240.61629999999</c:v>
                </c:pt>
                <c:pt idx="3">
                  <c:v>-31434.23</c:v>
                </c:pt>
                <c:pt idx="4">
                  <c:v>123372.46</c:v>
                </c:pt>
                <c:pt idx="5">
                  <c:v>278178.99</c:v>
                </c:pt>
                <c:pt idx="6">
                  <c:v>432985.53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C2-4B20-985F-B549C2B3684D}"/>
            </c:ext>
          </c:extLst>
        </c:ser>
        <c:ser>
          <c:idx val="1"/>
          <c:order val="1"/>
          <c:tx>
            <c:strRef>
              <c:f>'Break-Even Analysis'!$AN$6</c:f>
              <c:strCache>
                <c:ptCount val="1"/>
                <c:pt idx="0">
                  <c:v>PW(Alt 2)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'Break-Even Analysis'!$AL$7:$AL$13</c:f>
              <c:numCache>
                <c:formatCode>_-[$$-4809]* #,##0.00_-;\-[$$-4809]* #,##0.00_-;_-[$$-4809]* "-"??_-;_-@_-</c:formatCode>
                <c:ptCount val="7"/>
                <c:pt idx="0">
                  <c:v>1061536.6499999999</c:v>
                </c:pt>
                <c:pt idx="1">
                  <c:v>2561536.65</c:v>
                </c:pt>
                <c:pt idx="2">
                  <c:v>4061536.65</c:v>
                </c:pt>
                <c:pt idx="3">
                  <c:v>5561536.6500000004</c:v>
                </c:pt>
                <c:pt idx="4">
                  <c:v>7061536.6500000004</c:v>
                </c:pt>
                <c:pt idx="5">
                  <c:v>8561536.6500000004</c:v>
                </c:pt>
                <c:pt idx="6">
                  <c:v>10061536.65</c:v>
                </c:pt>
              </c:numCache>
            </c:numRef>
          </c:cat>
          <c:val>
            <c:numRef>
              <c:f>'Break-Even Analysis'!$AN$7:$AN$13</c:f>
              <c:numCache>
                <c:formatCode>_-[$$-4809]* #,##0.00_-;\-[$$-4809]* #,##0.00_-;_-[$$-4809]* "-"??_-;_-@_-</c:formatCode>
                <c:ptCount val="7"/>
                <c:pt idx="0">
                  <c:v>117009.82612146874</c:v>
                </c:pt>
                <c:pt idx="1">
                  <c:v>117009.82612146874</c:v>
                </c:pt>
                <c:pt idx="2">
                  <c:v>117009.82612146874</c:v>
                </c:pt>
                <c:pt idx="3">
                  <c:v>117009.82612146874</c:v>
                </c:pt>
                <c:pt idx="4">
                  <c:v>117009.82612146874</c:v>
                </c:pt>
                <c:pt idx="5">
                  <c:v>117009.82612146874</c:v>
                </c:pt>
                <c:pt idx="6">
                  <c:v>117009.82612146874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C2-4B20-985F-B549C2B36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7291871"/>
        <c:axId val="1337292351"/>
      </c:lineChart>
      <c:catAx>
        <c:axId val="1337291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Annual Sales of Alternative 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809]* #,##0.00_-;\-[$$-4809]* #,##0.00_-;_-[$$-4809]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292351"/>
        <c:crosses val="autoZero"/>
        <c:auto val="1"/>
        <c:lblAlgn val="ctr"/>
        <c:lblOffset val="100"/>
        <c:noMultiLvlLbl val="0"/>
      </c:catAx>
      <c:valAx>
        <c:axId val="133729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PW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809]* #,##0.00_-;\-[$$-4809]* #,##0.00_-;_-[$$-4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291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17</xdr:row>
      <xdr:rowOff>0</xdr:rowOff>
    </xdr:from>
    <xdr:to>
      <xdr:col>11</xdr:col>
      <xdr:colOff>457200</xdr:colOff>
      <xdr:row>38</xdr:row>
      <xdr:rowOff>114300</xdr:rowOff>
    </xdr:to>
    <xdr:graphicFrame macro="">
      <xdr:nvGraphicFramePr>
        <xdr:cNvPr id="69" name="Chart 1">
          <a:extLst>
            <a:ext uri="{FF2B5EF4-FFF2-40B4-BE49-F238E27FC236}">
              <a16:creationId xmlns:a16="http://schemas.microsoft.com/office/drawing/2014/main" id="{8ECCD3C7-A95E-C697-41FE-599F9D0790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17</xdr:row>
      <xdr:rowOff>0</xdr:rowOff>
    </xdr:from>
    <xdr:to>
      <xdr:col>15</xdr:col>
      <xdr:colOff>63500</xdr:colOff>
      <xdr:row>38</xdr:row>
      <xdr:rowOff>107950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91858A79-16D0-230A-0D15-6CA79FC410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17</xdr:row>
      <xdr:rowOff>0</xdr:rowOff>
    </xdr:from>
    <xdr:to>
      <xdr:col>9</xdr:col>
      <xdr:colOff>700896</xdr:colOff>
      <xdr:row>38</xdr:row>
      <xdr:rowOff>114300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8C47B579-A67B-0BED-0FA7-B72DFB57D0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318495</xdr:colOff>
      <xdr:row>17</xdr:row>
      <xdr:rowOff>182220</xdr:rowOff>
    </xdr:from>
    <xdr:to>
      <xdr:col>5</xdr:col>
      <xdr:colOff>281862</xdr:colOff>
      <xdr:row>34</xdr:row>
      <xdr:rowOff>59738</xdr:rowOff>
    </xdr:to>
    <xdr:graphicFrame macro="">
      <xdr:nvGraphicFramePr>
        <xdr:cNvPr id="12" name="Chart 2">
          <a:extLst>
            <a:ext uri="{FF2B5EF4-FFF2-40B4-BE49-F238E27FC236}">
              <a16:creationId xmlns:a16="http://schemas.microsoft.com/office/drawing/2014/main" id="{2BBCD314-1857-6344-778B-F60F480FEE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501930</xdr:colOff>
      <xdr:row>18</xdr:row>
      <xdr:rowOff>6159</xdr:rowOff>
    </xdr:from>
    <xdr:to>
      <xdr:col>12</xdr:col>
      <xdr:colOff>466531</xdr:colOff>
      <xdr:row>34</xdr:row>
      <xdr:rowOff>48596</xdr:rowOff>
    </xdr:to>
    <xdr:graphicFrame macro="">
      <xdr:nvGraphicFramePr>
        <xdr:cNvPr id="26" name="Chart 3">
          <a:extLst>
            <a:ext uri="{FF2B5EF4-FFF2-40B4-BE49-F238E27FC236}">
              <a16:creationId xmlns:a16="http://schemas.microsoft.com/office/drawing/2014/main" id="{D4B1B39B-7F67-64F4-D58A-EFA8FBEAE2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226141</xdr:colOff>
      <xdr:row>17</xdr:row>
      <xdr:rowOff>174247</xdr:rowOff>
    </xdr:from>
    <xdr:to>
      <xdr:col>19</xdr:col>
      <xdr:colOff>145791</xdr:colOff>
      <xdr:row>34</xdr:row>
      <xdr:rowOff>48597</xdr:rowOff>
    </xdr:to>
    <xdr:graphicFrame macro="">
      <xdr:nvGraphicFramePr>
        <xdr:cNvPr id="33" name="Chart 4">
          <a:extLst>
            <a:ext uri="{FF2B5EF4-FFF2-40B4-BE49-F238E27FC236}">
              <a16:creationId xmlns:a16="http://schemas.microsoft.com/office/drawing/2014/main" id="{E9C27A62-32E3-097F-CF15-B4FA1BAF6F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347584</xdr:colOff>
      <xdr:row>17</xdr:row>
      <xdr:rowOff>180878</xdr:rowOff>
    </xdr:from>
    <xdr:to>
      <xdr:col>26</xdr:col>
      <xdr:colOff>242986</xdr:colOff>
      <xdr:row>34</xdr:row>
      <xdr:rowOff>68035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40F3201-2535-8728-6AEF-F5DE9D39E5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459381</xdr:colOff>
      <xdr:row>20</xdr:row>
      <xdr:rowOff>160890</xdr:rowOff>
    </xdr:from>
    <xdr:to>
      <xdr:col>33</xdr:col>
      <xdr:colOff>554005</xdr:colOff>
      <xdr:row>39</xdr:row>
      <xdr:rowOff>174949</xdr:rowOff>
    </xdr:to>
    <xdr:graphicFrame macro="">
      <xdr:nvGraphicFramePr>
        <xdr:cNvPr id="34" name="Chart 6">
          <a:extLst>
            <a:ext uri="{FF2B5EF4-FFF2-40B4-BE49-F238E27FC236}">
              <a16:creationId xmlns:a16="http://schemas.microsoft.com/office/drawing/2014/main" id="{B18A843D-F90B-957F-7605-959E2E871F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37</xdr:col>
      <xdr:colOff>181072</xdr:colOff>
      <xdr:row>15</xdr:row>
      <xdr:rowOff>20131</xdr:rowOff>
    </xdr:from>
    <xdr:to>
      <xdr:col>42</xdr:col>
      <xdr:colOff>398496</xdr:colOff>
      <xdr:row>33</xdr:row>
      <xdr:rowOff>184668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1BFDF3-F38C-FFFD-6EE4-3715492E75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qashier.com/sg/product-category/accessories/" TargetMode="External"/><Relationship Id="rId2" Type="http://schemas.openxmlformats.org/officeDocument/2006/relationships/hyperlink" Target="https://qashier.com/sg/software-pricing/" TargetMode="External"/><Relationship Id="rId1" Type="http://schemas.openxmlformats.org/officeDocument/2006/relationships/hyperlink" Target="https://sg.indeed.com/jobs?q=Supermarket+Cashier&amp;l=singapore&amp;mna=&amp;=&amp;aceid=&amp;gad_source=1&amp;gclid=Cj0KCQjw2a6wBhCVARIsABPeH1tTloqXXFTRE1Lqn0HInCf26Q-QdfdyuhmoMMoFar2G4mif7wfBkNQaAj3uEALw_wcB&amp;gclsrc=aw.ds&amp;from=mobRdr&amp;utm_source=%2Fm%2F&amp;utm_medium=redir&amp;utm_campaign=dt&amp;vjk=725fbfdeb7984e94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5E276-BAC5-4452-B2BE-860564A6F90A}">
  <sheetPr>
    <tabColor theme="8" tint="0.79998168889431442"/>
  </sheetPr>
  <dimension ref="A2:K42"/>
  <sheetViews>
    <sheetView topLeftCell="A11" zoomScale="78" zoomScaleNormal="146" workbookViewId="0">
      <selection activeCell="K11" sqref="K11"/>
    </sheetView>
  </sheetViews>
  <sheetFormatPr defaultColWidth="9.140625" defaultRowHeight="20.100000000000001" customHeight="1"/>
  <cols>
    <col min="1" max="1" width="9.140625" style="13"/>
    <col min="2" max="2" width="45" style="13" customWidth="1"/>
    <col min="3" max="5" width="17.7109375" style="13" customWidth="1"/>
    <col min="6" max="6" width="15" style="13" customWidth="1"/>
    <col min="7" max="7" width="26.28515625" style="13" customWidth="1"/>
    <col min="8" max="8" width="24.140625" style="13" customWidth="1"/>
    <col min="9" max="9" width="18.42578125" style="13" customWidth="1"/>
    <col min="10" max="10" width="17.42578125" style="13" customWidth="1"/>
    <col min="11" max="11" width="16.28515625" style="13" customWidth="1"/>
    <col min="12" max="12" width="13.85546875" style="13" bestFit="1" customWidth="1"/>
    <col min="13" max="16384" width="9.140625" style="13"/>
  </cols>
  <sheetData>
    <row r="2" spans="1:11" ht="20.100000000000001" customHeight="1">
      <c r="C2" s="5" t="s">
        <v>0</v>
      </c>
      <c r="D2" s="5" t="s">
        <v>1</v>
      </c>
      <c r="E2" s="5" t="s">
        <v>2</v>
      </c>
      <c r="G2" s="248" t="s">
        <v>3</v>
      </c>
      <c r="H2" s="249"/>
      <c r="J2" s="114" t="s">
        <v>4</v>
      </c>
      <c r="K2" s="97" t="s">
        <v>5</v>
      </c>
    </row>
    <row r="3" spans="1:11" ht="20.100000000000001" customHeight="1">
      <c r="B3" s="45" t="s">
        <v>6</v>
      </c>
      <c r="C3" s="99">
        <v>0.5</v>
      </c>
      <c r="D3" s="99">
        <v>0.25</v>
      </c>
      <c r="E3" s="61">
        <v>0</v>
      </c>
      <c r="G3" s="38" t="s">
        <v>7</v>
      </c>
      <c r="H3" s="39">
        <v>0.1</v>
      </c>
      <c r="J3" s="114" t="s">
        <v>8</v>
      </c>
      <c r="K3" s="97" t="s">
        <v>9</v>
      </c>
    </row>
    <row r="4" spans="1:11" ht="20.100000000000001" customHeight="1">
      <c r="B4" s="45" t="s">
        <v>10</v>
      </c>
      <c r="C4" s="111">
        <v>0.17</v>
      </c>
      <c r="D4" s="111">
        <v>8.5000000000000006E-2</v>
      </c>
      <c r="E4" s="61">
        <v>0</v>
      </c>
      <c r="G4" s="38" t="s">
        <v>11</v>
      </c>
      <c r="H4" s="98">
        <v>3</v>
      </c>
      <c r="J4" s="114" t="s">
        <v>12</v>
      </c>
      <c r="K4" s="97" t="s">
        <v>13</v>
      </c>
    </row>
    <row r="5" spans="1:11" ht="20.100000000000001" customHeight="1">
      <c r="A5" s="13" t="s">
        <v>14</v>
      </c>
      <c r="B5" s="45" t="s">
        <v>15</v>
      </c>
      <c r="C5" s="14">
        <f>40*52</f>
        <v>2080</v>
      </c>
      <c r="D5" s="14">
        <f>40*52</f>
        <v>2080</v>
      </c>
      <c r="E5" s="14">
        <f>40*52</f>
        <v>2080</v>
      </c>
      <c r="G5" s="38" t="s">
        <v>16</v>
      </c>
      <c r="H5" s="39">
        <v>0.17</v>
      </c>
    </row>
    <row r="6" spans="1:11" ht="20.100000000000001" customHeight="1">
      <c r="B6" s="45" t="s">
        <v>17</v>
      </c>
      <c r="C6" s="101">
        <v>8</v>
      </c>
      <c r="D6" s="101">
        <v>10</v>
      </c>
      <c r="E6" s="101">
        <v>12</v>
      </c>
      <c r="G6" s="38" t="s">
        <v>18</v>
      </c>
      <c r="H6" s="18">
        <v>600000</v>
      </c>
    </row>
    <row r="7" spans="1:11" ht="20.100000000000001" customHeight="1">
      <c r="B7" s="45" t="s">
        <v>19</v>
      </c>
      <c r="C7" s="61">
        <v>0</v>
      </c>
      <c r="D7" s="112">
        <v>1.4999999999999999E-4</v>
      </c>
      <c r="E7" s="113">
        <v>5.0000000000000001E-4</v>
      </c>
      <c r="H7" s="69"/>
    </row>
    <row r="8" spans="1:11" ht="20.100000000000001" customHeight="1">
      <c r="B8" s="45" t="s">
        <v>20</v>
      </c>
      <c r="C8" s="101">
        <f>500+840+910</f>
        <v>2250</v>
      </c>
      <c r="D8" s="101">
        <f>(C8+E8)/2</f>
        <v>2644</v>
      </c>
      <c r="E8" s="101">
        <f>2188+850</f>
        <v>3038</v>
      </c>
      <c r="H8" s="69"/>
    </row>
    <row r="9" spans="1:11" ht="20.100000000000001" customHeight="1">
      <c r="B9" s="45" t="s">
        <v>21</v>
      </c>
      <c r="C9" s="100">
        <v>1800000</v>
      </c>
      <c r="D9" s="100">
        <f>'Break-Even Analysis'!W4</f>
        <v>1061536.6499999999</v>
      </c>
      <c r="E9" s="101">
        <v>323073.3</v>
      </c>
      <c r="H9" s="69"/>
    </row>
    <row r="10" spans="1:11" ht="20.100000000000001" customHeight="1">
      <c r="B10" s="45" t="s">
        <v>22</v>
      </c>
      <c r="C10" s="100">
        <v>100</v>
      </c>
      <c r="D10" s="101">
        <f>(C10+E10)/2</f>
        <v>175</v>
      </c>
      <c r="E10" s="101">
        <v>250</v>
      </c>
      <c r="H10" s="69"/>
    </row>
    <row r="11" spans="1:11" ht="20.100000000000001" customHeight="1">
      <c r="B11" s="40" t="s">
        <v>23</v>
      </c>
      <c r="C11" s="61">
        <v>0.5</v>
      </c>
      <c r="D11" s="61">
        <v>0.4</v>
      </c>
      <c r="E11" s="61">
        <v>0.3</v>
      </c>
      <c r="H11" s="69"/>
    </row>
    <row r="12" spans="1:11" ht="20.100000000000001" customHeight="1">
      <c r="C12" s="133"/>
      <c r="D12" s="133"/>
      <c r="E12" s="133"/>
      <c r="H12" s="69"/>
    </row>
    <row r="13" spans="1:11" ht="20.100000000000001" customHeight="1">
      <c r="C13" s="69"/>
      <c r="H13" s="97"/>
    </row>
    <row r="14" spans="1:11" s="108" customFormat="1" ht="20.100000000000001" customHeight="1">
      <c r="B14" s="106" t="s">
        <v>24</v>
      </c>
      <c r="C14" s="107"/>
      <c r="H14" s="109"/>
    </row>
    <row r="16" spans="1:11" ht="20.100000000000001" customHeight="1">
      <c r="B16" s="67"/>
      <c r="C16" s="44" t="s">
        <v>0</v>
      </c>
      <c r="D16" s="5" t="s">
        <v>1</v>
      </c>
      <c r="E16" s="5" t="s">
        <v>2</v>
      </c>
    </row>
    <row r="17" spans="2:10" ht="20.100000000000001" customHeight="1">
      <c r="B17" s="68" t="s">
        <v>25</v>
      </c>
      <c r="C17" s="18">
        <f>-(C8*2)</f>
        <v>-4500</v>
      </c>
      <c r="D17" s="18">
        <f>'Break-Even Analysis'!B4</f>
        <v>-5466</v>
      </c>
      <c r="E17" s="18">
        <f>-(E8*2)</f>
        <v>-6076</v>
      </c>
      <c r="F17" s="41" t="s">
        <v>26</v>
      </c>
    </row>
    <row r="18" spans="2:10" ht="20.100000000000001" customHeight="1">
      <c r="B18" s="68" t="s">
        <v>27</v>
      </c>
      <c r="C18" s="18">
        <f>-(C3*C17)</f>
        <v>2250</v>
      </c>
      <c r="D18" s="18">
        <f>-(D3*D17)</f>
        <v>1366.5</v>
      </c>
      <c r="E18" s="18">
        <f>-(E3*E17)</f>
        <v>0</v>
      </c>
      <c r="F18" s="41" t="s">
        <v>28</v>
      </c>
    </row>
    <row r="19" spans="2:10" ht="20.100000000000001" customHeight="1">
      <c r="B19" s="104" t="s">
        <v>18</v>
      </c>
      <c r="C19" s="105">
        <v>1800000</v>
      </c>
      <c r="D19" s="105">
        <f>(C19+E19)/2</f>
        <v>1061536.6499999999</v>
      </c>
      <c r="E19" s="105">
        <v>323073.3</v>
      </c>
    </row>
    <row r="20" spans="2:10" ht="20.100000000000001" customHeight="1">
      <c r="B20" s="68" t="s">
        <v>29</v>
      </c>
      <c r="C20" s="18">
        <f>C4*C9</f>
        <v>306000</v>
      </c>
      <c r="D20" s="18">
        <f>D4*D9</f>
        <v>90230.615250000003</v>
      </c>
      <c r="E20" s="18">
        <f>E4*E9</f>
        <v>0</v>
      </c>
      <c r="F20" s="41" t="s">
        <v>30</v>
      </c>
    </row>
    <row r="21" spans="2:10" ht="20.100000000000001" customHeight="1">
      <c r="B21" s="40" t="s">
        <v>31</v>
      </c>
      <c r="C21" s="18">
        <f>-(C10*12)</f>
        <v>-1200</v>
      </c>
      <c r="D21" s="18">
        <f>-(D10*12)</f>
        <v>-2100</v>
      </c>
      <c r="E21" s="18">
        <f>-(E10*12)</f>
        <v>-3000</v>
      </c>
      <c r="F21" s="110" t="s">
        <v>32</v>
      </c>
    </row>
    <row r="22" spans="2:10" ht="20.100000000000001" customHeight="1">
      <c r="B22" s="40" t="s">
        <v>33</v>
      </c>
      <c r="C22" s="18">
        <f>-(2*C6*C5)</f>
        <v>-33280</v>
      </c>
      <c r="D22" s="18">
        <f>-(2*D6*D5)</f>
        <v>-41600</v>
      </c>
      <c r="E22" s="18">
        <f>-(2*E6*E5)</f>
        <v>-49920</v>
      </c>
      <c r="F22" s="41" t="s">
        <v>34</v>
      </c>
    </row>
    <row r="23" spans="2:10" ht="20.100000000000001" customHeight="1">
      <c r="B23" s="40" t="s">
        <v>35</v>
      </c>
      <c r="C23" s="18">
        <f>C7*C9</f>
        <v>0</v>
      </c>
      <c r="D23" s="18">
        <f>-D7*D9</f>
        <v>-159.23049749999998</v>
      </c>
      <c r="E23" s="18">
        <f>-E7*E9</f>
        <v>-161.53665000000001</v>
      </c>
      <c r="F23" s="41" t="s">
        <v>36</v>
      </c>
    </row>
    <row r="24" spans="2:10" ht="20.100000000000001" customHeight="1">
      <c r="B24" s="40" t="s">
        <v>37</v>
      </c>
      <c r="C24" s="18">
        <f>-(C11*C17)</f>
        <v>2250</v>
      </c>
      <c r="D24" s="18">
        <f>-(D11*D17)</f>
        <v>2186.4</v>
      </c>
      <c r="E24" s="18">
        <f>-(E11*E17)</f>
        <v>1822.8</v>
      </c>
      <c r="F24" s="13" t="s">
        <v>38</v>
      </c>
    </row>
    <row r="25" spans="2:10" ht="20.100000000000001" customHeight="1">
      <c r="B25" s="40" t="s">
        <v>39</v>
      </c>
      <c r="C25" s="14">
        <v>7</v>
      </c>
      <c r="D25" s="14">
        <v>5</v>
      </c>
      <c r="E25" s="14">
        <v>3</v>
      </c>
    </row>
    <row r="28" spans="2:10" s="108" customFormat="1" ht="20.100000000000001" customHeight="1">
      <c r="B28" s="106" t="s">
        <v>40</v>
      </c>
    </row>
    <row r="29" spans="2:10" ht="20.100000000000001" customHeight="1">
      <c r="I29"/>
    </row>
    <row r="30" spans="2:10" ht="20.100000000000001" customHeight="1">
      <c r="B30" s="24"/>
      <c r="C30" s="134" t="s">
        <v>41</v>
      </c>
      <c r="D30" s="134" t="s">
        <v>42</v>
      </c>
      <c r="E30" s="134" t="s">
        <v>43</v>
      </c>
      <c r="F30" s="134" t="s">
        <v>44</v>
      </c>
      <c r="G30" s="134" t="s">
        <v>45</v>
      </c>
      <c r="H30" s="134" t="s">
        <v>46</v>
      </c>
      <c r="I30"/>
    </row>
    <row r="31" spans="2:10" ht="20.100000000000001" customHeight="1">
      <c r="B31" s="5" t="s">
        <v>47</v>
      </c>
      <c r="C31" s="5" t="s">
        <v>48</v>
      </c>
      <c r="D31" s="5" t="s">
        <v>49</v>
      </c>
      <c r="E31" s="5" t="s">
        <v>50</v>
      </c>
      <c r="F31" s="5" t="s">
        <v>51</v>
      </c>
      <c r="G31" s="5" t="s">
        <v>52</v>
      </c>
      <c r="H31" s="5" t="s">
        <v>53</v>
      </c>
      <c r="I31"/>
    </row>
    <row r="32" spans="2:10" ht="20.100000000000001" customHeight="1">
      <c r="B32" s="1">
        <v>0</v>
      </c>
      <c r="C32" s="18">
        <f>D17+D18</f>
        <v>-4099.5</v>
      </c>
      <c r="D32" s="77"/>
      <c r="E32" s="77"/>
      <c r="F32" s="77"/>
      <c r="G32" s="18">
        <f>C32</f>
        <v>-4099.5</v>
      </c>
      <c r="H32" s="18">
        <f>G32/((1+$H$3)^B32)</f>
        <v>-4099.5</v>
      </c>
      <c r="I32"/>
      <c r="J32" s="69"/>
    </row>
    <row r="33" spans="2:9" ht="20.100000000000001" customHeight="1">
      <c r="B33" s="1">
        <v>1</v>
      </c>
      <c r="C33" s="18">
        <f>SUM(D20:D23)</f>
        <v>46371.384752500002</v>
      </c>
      <c r="D33" s="18">
        <f>-($D$17+$D$18)/3</f>
        <v>1366.5</v>
      </c>
      <c r="E33" s="18">
        <f>C33-D33</f>
        <v>45004.884752500002</v>
      </c>
      <c r="F33" s="18">
        <f>-17%*E33</f>
        <v>-7650.8304079250011</v>
      </c>
      <c r="G33" s="18">
        <f>C33+F33</f>
        <v>38720.554344575001</v>
      </c>
      <c r="H33" s="18">
        <f>G33/((1+$H$3)^B33)</f>
        <v>35200.503949613638</v>
      </c>
      <c r="I33"/>
    </row>
    <row r="34" spans="2:9" ht="20.100000000000001" customHeight="1">
      <c r="B34" s="1">
        <v>2</v>
      </c>
      <c r="C34" s="18">
        <f>SUM(D20:D23)</f>
        <v>46371.384752500002</v>
      </c>
      <c r="D34" s="18">
        <f>-($D$17+$D$18)/3</f>
        <v>1366.5</v>
      </c>
      <c r="E34" s="18">
        <f>C34-D34</f>
        <v>45004.884752500002</v>
      </c>
      <c r="F34" s="18">
        <f>-17%*E34</f>
        <v>-7650.8304079250011</v>
      </c>
      <c r="G34" s="18">
        <f>C34+F34</f>
        <v>38720.554344575001</v>
      </c>
      <c r="H34" s="18">
        <f>G34/((1+$H$3)^B34)</f>
        <v>32000.458136012392</v>
      </c>
      <c r="I34"/>
    </row>
    <row r="35" spans="2:9" ht="20.100000000000001" customHeight="1">
      <c r="B35" s="1">
        <v>3</v>
      </c>
      <c r="C35" s="18">
        <f>SUM(D20:D23)</f>
        <v>46371.384752500002</v>
      </c>
      <c r="D35" s="18">
        <f>-($D$17+$D$18)/3</f>
        <v>1366.5</v>
      </c>
      <c r="E35" s="18">
        <f>C35-D35</f>
        <v>45004.884752500002</v>
      </c>
      <c r="F35" s="18">
        <f>-17%*E35</f>
        <v>-7650.8304079250011</v>
      </c>
      <c r="G35" s="18">
        <f>C35+F35</f>
        <v>38720.554344575001</v>
      </c>
      <c r="H35" s="18">
        <f>G35/((1+$H$3)^B35)</f>
        <v>29091.325578193078</v>
      </c>
      <c r="I35"/>
    </row>
    <row r="36" spans="2:9" ht="20.100000000000001" customHeight="1">
      <c r="B36" s="1">
        <v>3</v>
      </c>
      <c r="C36" s="135">
        <f>D24</f>
        <v>2186.4</v>
      </c>
      <c r="D36" s="103"/>
      <c r="E36" s="18">
        <f>C36-D36</f>
        <v>2186.4</v>
      </c>
      <c r="F36" s="18">
        <f>-C36*H5</f>
        <v>-371.68800000000005</v>
      </c>
      <c r="G36" s="18">
        <f>C36+F36</f>
        <v>1814.712</v>
      </c>
      <c r="H36" s="76">
        <f>G36/((1+$H$3)^B36)</f>
        <v>1363.4199849737035</v>
      </c>
      <c r="I36"/>
    </row>
    <row r="37" spans="2:9" ht="20.100000000000001" customHeight="1">
      <c r="I37"/>
    </row>
    <row r="38" spans="2:9" ht="20.100000000000001" customHeight="1">
      <c r="G38" s="8" t="s">
        <v>53</v>
      </c>
      <c r="H38" s="101">
        <f>SUM(H32:H36)</f>
        <v>93556.207648792813</v>
      </c>
      <c r="I38"/>
    </row>
    <row r="39" spans="2:9" ht="20.100000000000001" customHeight="1">
      <c r="G39" s="8" t="s">
        <v>54</v>
      </c>
      <c r="H39" s="101">
        <f>PMT(H3, H4, -H38, 0, 0)</f>
        <v>37620.336066629381</v>
      </c>
      <c r="I39"/>
    </row>
    <row r="41" spans="2:9" ht="20.100000000000001" customHeight="1">
      <c r="C41" s="69"/>
    </row>
    <row r="42" spans="2:9" ht="20.100000000000001" customHeight="1">
      <c r="G42" s="102"/>
    </row>
  </sheetData>
  <mergeCells count="1">
    <mergeCell ref="G2:H2"/>
  </mergeCells>
  <conditionalFormatting sqref="C17:E25">
    <cfRule type="cellIs" dxfId="9" priority="1" operator="lessThanOrEqual">
      <formula>0</formula>
    </cfRule>
  </conditionalFormatting>
  <hyperlinks>
    <hyperlink ref="K4" r:id="rId1" display="https://sg.indeed.com/jobs?q=Supermarket+Cashier&amp;l=singapore&amp;mna=&amp;=&amp;aceid=&amp;gad_source=1&amp;gclid=Cj0KCQjw2a6wBhCVARIsABPeH1tTloqXXFTRE1Lqn0HInCf26Q-QdfdyuhmoMMoFar2G4mif7wfBkNQaAj3uEALw_wcB&amp;gclsrc=aw.ds&amp;from=mobRdr&amp;utm_source=%2Fm%2F&amp;utm_medium=redir&amp;utm_campaign=dt&amp;vjk=725fbfdeb7984e94" xr:uid="{C579B4BC-A1C7-4790-88CA-72A03E0B7D43}"/>
    <hyperlink ref="K3" r:id="rId2" xr:uid="{0CDFD841-DB72-4DFD-88EB-541F9E10F4B9}"/>
    <hyperlink ref="K2" r:id="rId3" xr:uid="{C44DBE88-51EF-4016-9ED0-ABFE6B1D671D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99410-455E-4B74-9435-8EFDCC2A0FF7}">
  <sheetPr>
    <tabColor theme="8" tint="0.79998168889431442"/>
    <pageSetUpPr fitToPage="1"/>
  </sheetPr>
  <dimension ref="A1:N40"/>
  <sheetViews>
    <sheetView zoomScale="74" workbookViewId="0">
      <selection activeCell="B36" sqref="B36"/>
    </sheetView>
  </sheetViews>
  <sheetFormatPr defaultRowHeight="15"/>
  <cols>
    <col min="1" max="1" width="48.85546875" style="6" bestFit="1" customWidth="1"/>
    <col min="2" max="8" width="18.28515625" style="122" customWidth="1"/>
    <col min="9" max="9" width="18.28515625" style="6" customWidth="1"/>
    <col min="10" max="10" width="11.85546875" bestFit="1" customWidth="1"/>
    <col min="11" max="11" width="13.85546875" bestFit="1" customWidth="1"/>
    <col min="14" max="14" width="31" customWidth="1"/>
  </cols>
  <sheetData>
    <row r="1" spans="1:9">
      <c r="A1" s="9" t="s">
        <v>55</v>
      </c>
    </row>
    <row r="2" spans="1:9">
      <c r="A2" s="6" t="s">
        <v>56</v>
      </c>
    </row>
    <row r="3" spans="1:9">
      <c r="A3" s="6" t="s">
        <v>57</v>
      </c>
    </row>
    <row r="6" spans="1:9">
      <c r="E6" s="122" t="s">
        <v>58</v>
      </c>
    </row>
    <row r="7" spans="1:9">
      <c r="B7" s="123" t="s">
        <v>59</v>
      </c>
      <c r="E7" s="123" t="s">
        <v>60</v>
      </c>
      <c r="I7" s="6" t="s">
        <v>61</v>
      </c>
    </row>
    <row r="8" spans="1:9" s="121" customFormat="1">
      <c r="A8" s="119" t="s">
        <v>62</v>
      </c>
      <c r="B8" s="124" t="s">
        <v>63</v>
      </c>
      <c r="C8" s="124" t="s">
        <v>64</v>
      </c>
      <c r="D8" s="125" t="s">
        <v>65</v>
      </c>
      <c r="E8" s="124" t="s">
        <v>66</v>
      </c>
      <c r="F8" s="124" t="s">
        <v>1</v>
      </c>
      <c r="G8" s="125" t="s">
        <v>67</v>
      </c>
      <c r="H8" s="124" t="s">
        <v>68</v>
      </c>
      <c r="I8" s="120" t="s">
        <v>69</v>
      </c>
    </row>
    <row r="9" spans="1:9">
      <c r="A9" s="45" t="s">
        <v>70</v>
      </c>
      <c r="B9" s="126">
        <v>0</v>
      </c>
      <c r="C9" s="127">
        <v>90230.615250000003</v>
      </c>
      <c r="D9" s="33">
        <v>306000</v>
      </c>
      <c r="E9" s="122">
        <v>-92687.65</v>
      </c>
      <c r="F9" s="122">
        <v>93556.207599999994</v>
      </c>
      <c r="G9" s="128">
        <v>538923.02</v>
      </c>
      <c r="H9" s="122">
        <v>631610.67000000004</v>
      </c>
      <c r="I9" s="118">
        <v>0.99700290564442762</v>
      </c>
    </row>
    <row r="10" spans="1:9">
      <c r="A10" s="45" t="s">
        <v>71</v>
      </c>
      <c r="B10" s="96">
        <v>-49920</v>
      </c>
      <c r="C10" s="129">
        <v>-41600</v>
      </c>
      <c r="D10" s="130">
        <v>-33280</v>
      </c>
      <c r="E10" s="122">
        <v>76383</v>
      </c>
      <c r="F10" s="122">
        <v>93556.207599999994</v>
      </c>
      <c r="G10" s="131">
        <v>110729.41</v>
      </c>
      <c r="H10" s="122">
        <v>34346.410000000003</v>
      </c>
      <c r="I10" s="118">
        <v>2.9482221696549783E-3</v>
      </c>
    </row>
    <row r="11" spans="1:9">
      <c r="A11" s="45" t="s">
        <v>72</v>
      </c>
      <c r="B11" s="96">
        <v>-3000</v>
      </c>
      <c r="C11" s="132">
        <v>-2100</v>
      </c>
      <c r="D11" s="33">
        <v>-1200</v>
      </c>
      <c r="E11" s="122">
        <v>91698.53</v>
      </c>
      <c r="F11" s="122">
        <v>93556.207599999994</v>
      </c>
      <c r="G11" s="131">
        <v>95413.89</v>
      </c>
      <c r="H11" s="122">
        <v>3715.36</v>
      </c>
      <c r="I11" s="118">
        <v>3.449842833440477E-5</v>
      </c>
    </row>
    <row r="12" spans="1:9">
      <c r="A12" s="45" t="s">
        <v>73</v>
      </c>
      <c r="B12" s="96">
        <v>0</v>
      </c>
      <c r="C12" s="132">
        <v>1366.5</v>
      </c>
      <c r="D12" s="33">
        <v>2250</v>
      </c>
      <c r="E12" s="122">
        <v>92382.28</v>
      </c>
      <c r="F12" s="122">
        <v>93556.207599999994</v>
      </c>
      <c r="G12" s="131">
        <v>94315.199999999997</v>
      </c>
      <c r="H12" s="122">
        <v>1932.92</v>
      </c>
      <c r="I12" s="118">
        <v>9.3373850283628783E-6</v>
      </c>
    </row>
    <row r="13" spans="1:9">
      <c r="A13" s="45" t="s">
        <v>74</v>
      </c>
      <c r="B13" s="96">
        <v>-6076</v>
      </c>
      <c r="C13" s="132">
        <v>-5466</v>
      </c>
      <c r="D13" s="33">
        <v>-4500</v>
      </c>
      <c r="E13" s="122">
        <v>93032.17</v>
      </c>
      <c r="F13" s="122">
        <v>93556.207599999994</v>
      </c>
      <c r="G13" s="131">
        <v>94386.08</v>
      </c>
      <c r="H13" s="122">
        <v>1353.91</v>
      </c>
      <c r="I13" s="118">
        <v>4.5811772966564608E-6</v>
      </c>
    </row>
    <row r="14" spans="1:9">
      <c r="A14" s="45" t="s">
        <v>75</v>
      </c>
      <c r="B14" s="96">
        <v>-161.5367</v>
      </c>
      <c r="C14" s="132">
        <v>-159.23049749999998</v>
      </c>
      <c r="D14" s="33">
        <v>0</v>
      </c>
      <c r="E14" s="122">
        <v>93551.45</v>
      </c>
      <c r="F14" s="122">
        <v>93556.207599999994</v>
      </c>
      <c r="G14" s="131">
        <v>93884.87</v>
      </c>
      <c r="H14" s="122">
        <v>333.42</v>
      </c>
      <c r="I14" s="118">
        <v>2.7783106404925967E-7</v>
      </c>
    </row>
    <row r="15" spans="1:9">
      <c r="A15" s="45" t="s">
        <v>76</v>
      </c>
      <c r="B15" s="96">
        <v>1822.8</v>
      </c>
      <c r="C15" s="132">
        <v>2186.4</v>
      </c>
      <c r="D15" s="33">
        <v>2250</v>
      </c>
      <c r="E15" s="122">
        <v>93329.47</v>
      </c>
      <c r="F15" s="122">
        <v>93556.207599999994</v>
      </c>
      <c r="G15" s="131">
        <v>93595.87</v>
      </c>
      <c r="H15" s="122">
        <v>266.39999999999998</v>
      </c>
      <c r="I15" s="118">
        <v>1.7736419367089574E-7</v>
      </c>
    </row>
    <row r="16" spans="1:9">
      <c r="A16" s="45" t="s">
        <v>77</v>
      </c>
      <c r="B16" s="96">
        <v>1800000</v>
      </c>
      <c r="C16" s="132">
        <v>1061536.6499999999</v>
      </c>
      <c r="D16" s="33">
        <v>323073.3</v>
      </c>
      <c r="E16" s="122">
        <v>93556.21</v>
      </c>
      <c r="F16" s="122">
        <v>93556.207599999994</v>
      </c>
      <c r="G16" s="131">
        <v>93556.21</v>
      </c>
      <c r="H16" s="122">
        <v>0</v>
      </c>
      <c r="I16" s="118">
        <v>0</v>
      </c>
    </row>
    <row r="19" spans="14:14">
      <c r="N19" s="3" t="s">
        <v>78</v>
      </c>
    </row>
    <row r="20" spans="14:14">
      <c r="N20" t="s">
        <v>29</v>
      </c>
    </row>
    <row r="21" spans="14:14">
      <c r="N21" t="s">
        <v>33</v>
      </c>
    </row>
    <row r="22" spans="14:14">
      <c r="N22" t="s">
        <v>31</v>
      </c>
    </row>
    <row r="40" spans="1:9">
      <c r="A40" s="9" t="s">
        <v>79</v>
      </c>
      <c r="I40" s="9" t="s">
        <v>80</v>
      </c>
    </row>
  </sheetData>
  <sortState xmlns:xlrd2="http://schemas.microsoft.com/office/spreadsheetml/2017/richdata2" ref="A9:I16">
    <sortCondition descending="1" ref="H9"/>
  </sortState>
  <conditionalFormatting sqref="B9:B15">
    <cfRule type="cellIs" dxfId="8" priority="2" operator="lessThanOrEqual">
      <formula>0</formula>
    </cfRule>
  </conditionalFormatting>
  <conditionalFormatting sqref="B9:H16">
    <cfRule type="cellIs" dxfId="7" priority="1" operator="lessThanOrEqual">
      <formula>0</formula>
    </cfRule>
  </conditionalFormatting>
  <pageMargins left="0.7" right="0.7" top="0.75" bottom="0.75" header="0.3" footer="0.3"/>
  <pageSetup scale="86" orientation="portrait" r:id="rId1"/>
  <headerFooter>
    <oddHeader>&amp;L&amp;"Arial,Bold"&amp;12This Version Not Licensed For Commercial Or Student Use</oddHeader>
    <oddFooter>&amp;L&amp;"Arial,Bold"&amp;12SensIt Trial Version, Only For Evaluation&amp;R&amp;"Arial,Bold"&amp;12TreePlan.com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1DECF-224D-47EE-BAB5-317C42EC100F}">
  <sheetPr>
    <tabColor theme="6" tint="0.79998168889431442"/>
  </sheetPr>
  <dimension ref="B2:H37"/>
  <sheetViews>
    <sheetView tabSelected="1" topLeftCell="A9" zoomScale="88" zoomScaleNormal="123" workbookViewId="0">
      <selection activeCell="C19" sqref="C19:E19"/>
    </sheetView>
  </sheetViews>
  <sheetFormatPr defaultColWidth="9" defaultRowHeight="20.100000000000001" customHeight="1"/>
  <cols>
    <col min="1" max="1" width="9" style="43"/>
    <col min="2" max="2" width="38.5703125" style="43" customWidth="1"/>
    <col min="3" max="5" width="17.7109375" style="43" customWidth="1"/>
    <col min="6" max="6" width="14.85546875" style="43" customWidth="1"/>
    <col min="7" max="7" width="34.5703125" style="43" bestFit="1" customWidth="1"/>
    <col min="8" max="8" width="14.85546875" style="43" bestFit="1" customWidth="1"/>
    <col min="9" max="9" width="38.85546875" style="43" customWidth="1"/>
    <col min="10" max="10" width="14" style="43" customWidth="1"/>
    <col min="11" max="11" width="13.85546875" style="43" customWidth="1"/>
    <col min="12" max="12" width="12.28515625" style="43" customWidth="1"/>
    <col min="13" max="16384" width="9" style="43"/>
  </cols>
  <sheetData>
    <row r="2" spans="2:8" ht="20.100000000000001" customHeight="1">
      <c r="C2" s="5" t="s">
        <v>0</v>
      </c>
      <c r="D2" s="5" t="s">
        <v>1</v>
      </c>
      <c r="E2" s="5" t="s">
        <v>2</v>
      </c>
      <c r="G2" s="248" t="s">
        <v>81</v>
      </c>
      <c r="H2" s="250"/>
    </row>
    <row r="3" spans="2:8" ht="20.100000000000001" customHeight="1">
      <c r="B3" s="45" t="s">
        <v>6</v>
      </c>
      <c r="C3" s="144">
        <v>0.5</v>
      </c>
      <c r="D3" s="144">
        <v>0.25</v>
      </c>
      <c r="E3" s="35">
        <v>0</v>
      </c>
      <c r="G3" s="136" t="s">
        <v>82</v>
      </c>
      <c r="H3" s="50">
        <v>0.1</v>
      </c>
    </row>
    <row r="4" spans="2:8" ht="20.100000000000001" customHeight="1">
      <c r="B4" s="45" t="s">
        <v>10</v>
      </c>
      <c r="C4" s="144">
        <v>0.3</v>
      </c>
      <c r="D4" s="144">
        <v>0.15</v>
      </c>
      <c r="E4" s="35">
        <v>0</v>
      </c>
      <c r="G4" s="137" t="s">
        <v>11</v>
      </c>
      <c r="H4" s="143">
        <v>3</v>
      </c>
    </row>
    <row r="5" spans="2:8" ht="20.100000000000001" customHeight="1">
      <c r="B5" s="45" t="s">
        <v>15</v>
      </c>
      <c r="C5" s="35">
        <v>2080</v>
      </c>
      <c r="D5" s="35">
        <f>40*52</f>
        <v>2080</v>
      </c>
      <c r="E5" s="35">
        <v>2080</v>
      </c>
      <c r="G5" s="1" t="s">
        <v>83</v>
      </c>
      <c r="H5" s="54">
        <v>600000</v>
      </c>
    </row>
    <row r="6" spans="2:8" ht="20.100000000000001" customHeight="1">
      <c r="B6" s="45" t="s">
        <v>17</v>
      </c>
      <c r="C6" s="35">
        <v>8</v>
      </c>
      <c r="D6" s="35">
        <v>10</v>
      </c>
      <c r="E6" s="35">
        <v>12</v>
      </c>
      <c r="G6" s="1" t="s">
        <v>84</v>
      </c>
      <c r="H6" s="62">
        <v>0.17</v>
      </c>
    </row>
    <row r="7" spans="2:8" ht="20.100000000000001" customHeight="1">
      <c r="B7" s="45" t="s">
        <v>19</v>
      </c>
      <c r="C7" s="145">
        <v>0</v>
      </c>
      <c r="D7" s="147">
        <v>3.5000000000000003E-2</v>
      </c>
      <c r="E7" s="146">
        <v>7.0000000000000007E-2</v>
      </c>
      <c r="G7" s="1" t="s">
        <v>85</v>
      </c>
      <c r="H7" s="62" t="s">
        <v>86</v>
      </c>
    </row>
    <row r="8" spans="2:8" ht="20.100000000000001" customHeight="1">
      <c r="B8" s="45" t="s">
        <v>21</v>
      </c>
      <c r="C8" s="54">
        <v>1800000</v>
      </c>
      <c r="D8" s="54">
        <f>AVERAGE(C8,E8)</f>
        <v>1061536.6499999999</v>
      </c>
      <c r="E8" s="54">
        <v>323073.3</v>
      </c>
    </row>
    <row r="9" spans="2:8" ht="20.100000000000001" customHeight="1">
      <c r="B9" s="45" t="s">
        <v>23</v>
      </c>
      <c r="C9" s="62">
        <v>0.5</v>
      </c>
      <c r="D9" s="62">
        <v>0.4</v>
      </c>
      <c r="E9" s="62">
        <v>0.3</v>
      </c>
    </row>
    <row r="12" spans="2:8" s="149" customFormat="1" ht="20.100000000000001" customHeight="1">
      <c r="B12" s="150" t="s">
        <v>24</v>
      </c>
    </row>
    <row r="14" spans="2:8" ht="20.100000000000001" customHeight="1">
      <c r="B14" s="138"/>
      <c r="C14" s="44" t="s">
        <v>0</v>
      </c>
      <c r="D14" s="5" t="s">
        <v>1</v>
      </c>
      <c r="E14" s="5" t="s">
        <v>2</v>
      </c>
    </row>
    <row r="15" spans="2:8" ht="20.100000000000001" customHeight="1">
      <c r="B15" s="68" t="s">
        <v>87</v>
      </c>
      <c r="C15" s="139">
        <v>-110000</v>
      </c>
      <c r="D15" s="139">
        <v>-125000</v>
      </c>
      <c r="E15" s="139">
        <v>-150000</v>
      </c>
      <c r="G15" s="140"/>
    </row>
    <row r="16" spans="2:8" ht="20.100000000000001" customHeight="1">
      <c r="B16" s="68" t="s">
        <v>27</v>
      </c>
      <c r="C16" s="139">
        <f>-(C3*C15)</f>
        <v>55000</v>
      </c>
      <c r="D16" s="139">
        <f>-(D3*D15)</f>
        <v>31250</v>
      </c>
      <c r="E16" s="139">
        <f>(E3*E15)</f>
        <v>0</v>
      </c>
      <c r="F16" s="41" t="s">
        <v>28</v>
      </c>
      <c r="G16" s="140"/>
    </row>
    <row r="17" spans="2:8" ht="20.100000000000001" customHeight="1">
      <c r="B17" s="151" t="s">
        <v>18</v>
      </c>
      <c r="C17" s="152">
        <f>C8</f>
        <v>1800000</v>
      </c>
      <c r="D17" s="152">
        <f>D8</f>
        <v>1061536.6499999999</v>
      </c>
      <c r="E17" s="152">
        <f>E8</f>
        <v>323073.3</v>
      </c>
      <c r="F17" s="13"/>
      <c r="G17" s="140"/>
    </row>
    <row r="18" spans="2:8" ht="20.100000000000001" customHeight="1">
      <c r="B18" s="68" t="s">
        <v>88</v>
      </c>
      <c r="C18" s="141">
        <f>C4*C8</f>
        <v>540000</v>
      </c>
      <c r="D18" s="141">
        <f>D4*D8</f>
        <v>159230.49749999997</v>
      </c>
      <c r="E18" s="141">
        <f>E4*E8</f>
        <v>0</v>
      </c>
      <c r="F18" s="41" t="s">
        <v>30</v>
      </c>
    </row>
    <row r="19" spans="2:8" ht="20.100000000000001" customHeight="1">
      <c r="B19" s="40" t="s">
        <v>89</v>
      </c>
      <c r="C19" s="259">
        <v>-20352</v>
      </c>
      <c r="D19" s="259">
        <v>-20675.05</v>
      </c>
      <c r="E19" s="259">
        <v>-21690.3</v>
      </c>
      <c r="F19" s="13"/>
    </row>
    <row r="20" spans="2:8" ht="20.100000000000001" customHeight="1">
      <c r="B20" s="40" t="s">
        <v>90</v>
      </c>
      <c r="C20" s="142">
        <f>-C6*C5</f>
        <v>-16640</v>
      </c>
      <c r="D20" s="142">
        <f>-D5*D6</f>
        <v>-20800</v>
      </c>
      <c r="E20" s="142">
        <f>-E5*E6</f>
        <v>-24960</v>
      </c>
      <c r="F20" s="41" t="s">
        <v>91</v>
      </c>
    </row>
    <row r="21" spans="2:8" ht="20.100000000000001" customHeight="1">
      <c r="B21" s="45" t="s">
        <v>35</v>
      </c>
      <c r="C21" s="142">
        <f>C7*C8</f>
        <v>0</v>
      </c>
      <c r="D21" s="142">
        <f>-(D7*D8)</f>
        <v>-37153.782749999998</v>
      </c>
      <c r="E21" s="142">
        <f>-(E7*E8)</f>
        <v>-22615.131000000001</v>
      </c>
      <c r="F21" s="41" t="s">
        <v>36</v>
      </c>
      <c r="G21" s="140"/>
    </row>
    <row r="22" spans="2:8" ht="20.100000000000001" customHeight="1">
      <c r="B22" s="45" t="s">
        <v>37</v>
      </c>
      <c r="C22" s="142">
        <f>-(C9*C15)</f>
        <v>55000</v>
      </c>
      <c r="D22" s="142">
        <f>-(D9*D15)</f>
        <v>50000</v>
      </c>
      <c r="E22" s="142">
        <f>-(E9*E15)</f>
        <v>45000</v>
      </c>
      <c r="F22" s="13" t="s">
        <v>38</v>
      </c>
    </row>
    <row r="23" spans="2:8" ht="20.100000000000001" customHeight="1">
      <c r="B23" s="45" t="s">
        <v>39</v>
      </c>
      <c r="C23" s="35">
        <v>7</v>
      </c>
      <c r="D23" s="35">
        <v>5</v>
      </c>
      <c r="E23" s="35">
        <v>3</v>
      </c>
    </row>
    <row r="26" spans="2:8" s="149" customFormat="1" ht="20.100000000000001" customHeight="1">
      <c r="B26" s="150" t="s">
        <v>40</v>
      </c>
    </row>
    <row r="28" spans="2:8" ht="20.100000000000001" customHeight="1">
      <c r="B28" s="7"/>
      <c r="C28" s="7" t="s">
        <v>41</v>
      </c>
      <c r="D28" s="7" t="s">
        <v>42</v>
      </c>
      <c r="E28" s="7" t="s">
        <v>43</v>
      </c>
      <c r="F28" s="7" t="s">
        <v>44</v>
      </c>
      <c r="G28" s="7" t="s">
        <v>45</v>
      </c>
      <c r="H28" s="7" t="s">
        <v>46</v>
      </c>
    </row>
    <row r="29" spans="2:8" ht="20.100000000000001" customHeight="1">
      <c r="B29" s="5" t="s">
        <v>92</v>
      </c>
      <c r="C29" s="5" t="s">
        <v>48</v>
      </c>
      <c r="D29" s="5" t="s">
        <v>49</v>
      </c>
      <c r="E29" s="5" t="s">
        <v>50</v>
      </c>
      <c r="F29" s="5" t="s">
        <v>51</v>
      </c>
      <c r="G29" s="5" t="s">
        <v>52</v>
      </c>
      <c r="H29" s="5" t="s">
        <v>53</v>
      </c>
    </row>
    <row r="30" spans="2:8" ht="20.100000000000001" customHeight="1">
      <c r="B30" s="1">
        <v>0</v>
      </c>
      <c r="C30" s="142">
        <f>D15+D16</f>
        <v>-93750</v>
      </c>
      <c r="D30" s="11"/>
      <c r="E30" s="11"/>
      <c r="F30" s="11"/>
      <c r="G30" s="142">
        <f>C30</f>
        <v>-93750</v>
      </c>
      <c r="H30" s="142">
        <f>G30/((1+$H$3)^B30)</f>
        <v>-93750</v>
      </c>
    </row>
    <row r="31" spans="2:8" ht="20.100000000000001" customHeight="1">
      <c r="B31" s="1">
        <v>1</v>
      </c>
      <c r="C31" s="142">
        <f>SUM(D18:D21)</f>
        <v>80601.664749999982</v>
      </c>
      <c r="D31" s="142">
        <f>-$C$30/3</f>
        <v>31250</v>
      </c>
      <c r="E31" s="142">
        <f>C31-D31</f>
        <v>49351.664749999982</v>
      </c>
      <c r="F31" s="142">
        <f>-0.17*E31</f>
        <v>-8389.7830074999983</v>
      </c>
      <c r="G31" s="142">
        <f>C31+F31</f>
        <v>72211.881742499987</v>
      </c>
      <c r="H31" s="142">
        <f>G31/((1+$H$3)^B31)</f>
        <v>65647.165220454524</v>
      </c>
    </row>
    <row r="32" spans="2:8" ht="20.100000000000001" customHeight="1">
      <c r="B32" s="1">
        <v>2</v>
      </c>
      <c r="C32" s="142">
        <f>SUM(D18:D21)</f>
        <v>80601.664749999982</v>
      </c>
      <c r="D32" s="142">
        <f>-$C$30/3</f>
        <v>31250</v>
      </c>
      <c r="E32" s="142">
        <f>C32-D32</f>
        <v>49351.664749999982</v>
      </c>
      <c r="F32" s="142">
        <f>-0.17*E32</f>
        <v>-8389.7830074999983</v>
      </c>
      <c r="G32" s="142">
        <f>C32+F32</f>
        <v>72211.881742499987</v>
      </c>
      <c r="H32" s="142">
        <f>G32/((1+$H$3)^B32)</f>
        <v>59679.24110950411</v>
      </c>
    </row>
    <row r="33" spans="2:8" ht="20.100000000000001" customHeight="1">
      <c r="B33" s="1">
        <v>3</v>
      </c>
      <c r="C33" s="142">
        <f>SUM(D18:D21)</f>
        <v>80601.664749999982</v>
      </c>
      <c r="D33" s="142">
        <f>-$C$30/3</f>
        <v>31250</v>
      </c>
      <c r="E33" s="142">
        <f>C33-D33</f>
        <v>49351.664749999982</v>
      </c>
      <c r="F33" s="142">
        <f>-0.17*E33</f>
        <v>-8389.7830074999983</v>
      </c>
      <c r="G33" s="142">
        <f>C33+F33</f>
        <v>72211.881742499987</v>
      </c>
      <c r="H33" s="142">
        <f>G33/((1+$H$3)^B33)</f>
        <v>54253.85555409464</v>
      </c>
    </row>
    <row r="34" spans="2:8" ht="20.100000000000001" customHeight="1">
      <c r="B34" s="1">
        <v>3</v>
      </c>
      <c r="C34" s="148">
        <f>D22</f>
        <v>50000</v>
      </c>
      <c r="D34" s="11"/>
      <c r="E34" s="142">
        <f>C34</f>
        <v>50000</v>
      </c>
      <c r="F34" s="142">
        <f>-C34*H6</f>
        <v>-8500</v>
      </c>
      <c r="G34" s="142">
        <f>C34+F34</f>
        <v>41500</v>
      </c>
      <c r="H34" s="142">
        <f>G34/((1+$H$3)^B34)</f>
        <v>31179.564237415467</v>
      </c>
    </row>
    <row r="36" spans="2:8" ht="20.100000000000001" customHeight="1">
      <c r="G36" s="8" t="s">
        <v>53</v>
      </c>
      <c r="H36" s="142">
        <f>SUM(H30:H34)</f>
        <v>117009.82612146874</v>
      </c>
    </row>
    <row r="37" spans="2:8" ht="20.100000000000001" customHeight="1">
      <c r="G37" s="8" t="s">
        <v>54</v>
      </c>
      <c r="H37" s="142">
        <f>PMT(H3, H4, -H36, 0, 0)</f>
        <v>47051.383253073996</v>
      </c>
    </row>
  </sheetData>
  <mergeCells count="1">
    <mergeCell ref="G2:H2"/>
  </mergeCells>
  <conditionalFormatting sqref="C15:E18 C20:E22">
    <cfRule type="cellIs" dxfId="6" priority="1" operator="lessThanOr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E3C26-9485-4912-8BFF-3C46FAC41AEA}">
  <sheetPr>
    <tabColor theme="6" tint="0.79998168889431442"/>
    <pageSetUpPr fitToPage="1"/>
  </sheetPr>
  <dimension ref="A1:I40"/>
  <sheetViews>
    <sheetView topLeftCell="A4" workbookViewId="0">
      <selection activeCell="B34" sqref="B34"/>
    </sheetView>
  </sheetViews>
  <sheetFormatPr defaultColWidth="9" defaultRowHeight="20.100000000000001" customHeight="1"/>
  <cols>
    <col min="1" max="1" width="47" style="13" bestFit="1" customWidth="1"/>
    <col min="2" max="9" width="18.7109375" style="13" customWidth="1"/>
    <col min="10" max="16384" width="9" style="13"/>
  </cols>
  <sheetData>
    <row r="1" spans="1:9" ht="20.100000000000001" customHeight="1">
      <c r="A1" s="12" t="s">
        <v>55</v>
      </c>
    </row>
    <row r="2" spans="1:9" ht="20.100000000000001" customHeight="1">
      <c r="A2" s="13" t="s">
        <v>56</v>
      </c>
    </row>
    <row r="3" spans="1:9" ht="20.100000000000001" customHeight="1">
      <c r="A3" s="13" t="s">
        <v>57</v>
      </c>
    </row>
    <row r="6" spans="1:9" ht="20.100000000000001" customHeight="1">
      <c r="E6" s="115" t="s">
        <v>58</v>
      </c>
      <c r="F6" s="115"/>
      <c r="G6" s="115"/>
    </row>
    <row r="7" spans="1:9" ht="20.100000000000001" customHeight="1">
      <c r="B7" s="116" t="s">
        <v>59</v>
      </c>
      <c r="C7" s="115"/>
      <c r="D7" s="115"/>
      <c r="E7" s="116" t="s">
        <v>60</v>
      </c>
      <c r="F7" s="115"/>
      <c r="G7" s="115"/>
      <c r="I7" s="114" t="s">
        <v>61</v>
      </c>
    </row>
    <row r="8" spans="1:9" s="158" customFormat="1" ht="20.100000000000001" customHeight="1">
      <c r="A8" s="119" t="s">
        <v>62</v>
      </c>
      <c r="B8" s="120" t="s">
        <v>63</v>
      </c>
      <c r="C8" s="120" t="s">
        <v>64</v>
      </c>
      <c r="D8" s="119" t="s">
        <v>65</v>
      </c>
      <c r="E8" s="120" t="s">
        <v>66</v>
      </c>
      <c r="F8" s="120" t="s">
        <v>1</v>
      </c>
      <c r="G8" s="119" t="s">
        <v>67</v>
      </c>
      <c r="H8" s="120" t="s">
        <v>68</v>
      </c>
      <c r="I8" s="120" t="s">
        <v>69</v>
      </c>
    </row>
    <row r="9" spans="1:9" ht="20.100000000000001" customHeight="1">
      <c r="A9" s="45" t="s">
        <v>77</v>
      </c>
      <c r="B9" s="33">
        <v>323073.3</v>
      </c>
      <c r="C9" s="33">
        <v>1061536.6499999999</v>
      </c>
      <c r="D9" s="33">
        <v>1800000</v>
      </c>
      <c r="E9" s="155">
        <v>-71781.119999999995</v>
      </c>
      <c r="F9" s="155">
        <v>111878.3257</v>
      </c>
      <c r="G9" s="156">
        <v>295537.77</v>
      </c>
      <c r="H9" s="155">
        <v>367318.89</v>
      </c>
      <c r="I9" s="117">
        <v>0.95799237468086051</v>
      </c>
    </row>
    <row r="10" spans="1:9" ht="20.100000000000001" customHeight="1">
      <c r="A10" s="45" t="s">
        <v>93</v>
      </c>
      <c r="B10" s="33">
        <v>0</v>
      </c>
      <c r="C10" s="33">
        <v>31250</v>
      </c>
      <c r="D10" s="33">
        <v>55000</v>
      </c>
      <c r="E10" s="155">
        <v>80628.33</v>
      </c>
      <c r="F10" s="155">
        <v>111878.3257</v>
      </c>
      <c r="G10" s="157">
        <v>135628.32999999999</v>
      </c>
      <c r="H10" s="155">
        <v>55000</v>
      </c>
      <c r="I10" s="117">
        <v>2.1478349485123248E-2</v>
      </c>
    </row>
    <row r="11" spans="1:9" ht="20.100000000000001" customHeight="1">
      <c r="A11" s="45" t="s">
        <v>74</v>
      </c>
      <c r="B11" s="33">
        <v>-150000</v>
      </c>
      <c r="C11" s="33">
        <v>-125000</v>
      </c>
      <c r="D11" s="33">
        <v>-110000</v>
      </c>
      <c r="E11" s="155">
        <v>86878.33</v>
      </c>
      <c r="F11" s="155">
        <v>111878.3257</v>
      </c>
      <c r="G11" s="157">
        <v>126878.33</v>
      </c>
      <c r="H11" s="155">
        <v>40000</v>
      </c>
      <c r="I11" s="117">
        <v>1.1360449314445355E-2</v>
      </c>
    </row>
    <row r="12" spans="1:9" ht="20.100000000000001" customHeight="1">
      <c r="A12" s="45" t="s">
        <v>75</v>
      </c>
      <c r="B12" s="33">
        <v>-22615.131000000001</v>
      </c>
      <c r="C12" s="33">
        <v>-21000.000000000004</v>
      </c>
      <c r="D12" s="33">
        <v>0</v>
      </c>
      <c r="E12" s="155">
        <v>109507.07</v>
      </c>
      <c r="F12" s="155">
        <v>111878.3257</v>
      </c>
      <c r="G12" s="157">
        <v>142709.51</v>
      </c>
      <c r="H12" s="155">
        <v>33202.44</v>
      </c>
      <c r="I12" s="117">
        <v>7.8273639340912197E-3</v>
      </c>
    </row>
    <row r="13" spans="1:9" ht="20.100000000000001" customHeight="1">
      <c r="A13" s="45" t="s">
        <v>71</v>
      </c>
      <c r="B13" s="33">
        <v>-24960</v>
      </c>
      <c r="C13" s="33">
        <v>-20800</v>
      </c>
      <c r="D13" s="33">
        <v>-16640</v>
      </c>
      <c r="E13" s="155">
        <v>105160.06</v>
      </c>
      <c r="F13" s="155">
        <v>111878.3257</v>
      </c>
      <c r="G13" s="157">
        <v>118596.59</v>
      </c>
      <c r="H13" s="155">
        <v>13436.53</v>
      </c>
      <c r="I13" s="117">
        <v>1.2818871025441594E-3</v>
      </c>
    </row>
    <row r="14" spans="1:9" ht="20.100000000000001" customHeight="1">
      <c r="A14" s="45" t="s">
        <v>94</v>
      </c>
      <c r="B14" s="33">
        <v>45000</v>
      </c>
      <c r="C14" s="33">
        <v>50000</v>
      </c>
      <c r="D14" s="33">
        <v>55000</v>
      </c>
      <c r="E14" s="155">
        <v>110430</v>
      </c>
      <c r="F14" s="155">
        <v>111878.3257</v>
      </c>
      <c r="G14" s="157">
        <v>113326.65</v>
      </c>
      <c r="H14" s="155">
        <v>2896.65</v>
      </c>
      <c r="I14" s="117">
        <v>5.9575482935592624E-5</v>
      </c>
    </row>
    <row r="15" spans="1:9" ht="20.100000000000001" customHeight="1">
      <c r="A15" s="45" t="s">
        <v>70</v>
      </c>
      <c r="B15" s="33">
        <v>0</v>
      </c>
      <c r="C15" s="33">
        <v>159230.5</v>
      </c>
      <c r="D15" s="33">
        <v>540000</v>
      </c>
      <c r="E15" s="155">
        <v>111878.33</v>
      </c>
      <c r="F15" s="155">
        <v>111878.3257</v>
      </c>
      <c r="G15" s="157">
        <v>111878.33</v>
      </c>
      <c r="H15" s="155">
        <v>0</v>
      </c>
      <c r="I15" s="117">
        <v>0</v>
      </c>
    </row>
    <row r="16" spans="1:9" ht="20.100000000000001" customHeight="1">
      <c r="A16" s="45" t="s">
        <v>72</v>
      </c>
      <c r="B16" s="101">
        <v>-20352</v>
      </c>
      <c r="C16" s="101">
        <v>-20675.05</v>
      </c>
      <c r="D16" s="101">
        <v>-21690.3</v>
      </c>
      <c r="E16" s="155">
        <v>111878.33</v>
      </c>
      <c r="F16" s="155">
        <v>111878.3257</v>
      </c>
      <c r="G16" s="157">
        <v>111878.33</v>
      </c>
      <c r="H16" s="155">
        <v>0</v>
      </c>
      <c r="I16" s="117">
        <v>0</v>
      </c>
    </row>
    <row r="40" spans="1:9" ht="20.100000000000001" customHeight="1">
      <c r="A40" s="12" t="s">
        <v>79</v>
      </c>
      <c r="I40" s="42" t="s">
        <v>80</v>
      </c>
    </row>
  </sheetData>
  <sortState xmlns:xlrd2="http://schemas.microsoft.com/office/spreadsheetml/2017/richdata2" ref="A9:I16">
    <sortCondition descending="1" ref="H9"/>
  </sortState>
  <conditionalFormatting sqref="B12:D12">
    <cfRule type="cellIs" dxfId="5" priority="2" operator="lessThanOrEqual">
      <formula>0</formula>
    </cfRule>
  </conditionalFormatting>
  <conditionalFormatting sqref="B9:H16">
    <cfRule type="cellIs" dxfId="4" priority="1" operator="lessThanOrEqual">
      <formula>0</formula>
    </cfRule>
  </conditionalFormatting>
  <pageMargins left="0.7" right="0.7" top="0.75" bottom="0.75" header="0.3" footer="0.3"/>
  <pageSetup fitToHeight="0" orientation="portrait" r:id="rId1"/>
  <headerFooter>
    <oddHeader>&amp;L&amp;"Arial,Bold"&amp;12This Version Not Licensed For Commercial Or Student Use</oddHeader>
    <oddFooter>&amp;L&amp;"Arial,Bold"&amp;12SensIt Trial Version, Only For Evaluation&amp;R&amp;"Arial,Bold"&amp;12TreePlan.com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EBF26-3ACB-4BAC-972E-EF53EF10A5F6}">
  <sheetPr>
    <tabColor theme="5" tint="0.79998168889431442"/>
  </sheetPr>
  <dimension ref="B2:H49"/>
  <sheetViews>
    <sheetView zoomScale="86" workbookViewId="0">
      <selection activeCell="B36" sqref="B36"/>
    </sheetView>
  </sheetViews>
  <sheetFormatPr defaultColWidth="8.7109375" defaultRowHeight="20.25" customHeight="1"/>
  <cols>
    <col min="1" max="1" width="8.7109375" style="13"/>
    <col min="2" max="2" width="38" style="13" customWidth="1"/>
    <col min="3" max="6" width="17.7109375" style="13" customWidth="1"/>
    <col min="7" max="7" width="30.28515625" style="13" customWidth="1"/>
    <col min="8" max="8" width="28.5703125" style="13" customWidth="1"/>
    <col min="9" max="10" width="9" style="13" bestFit="1" customWidth="1"/>
    <col min="11" max="16384" width="8.7109375" style="13"/>
  </cols>
  <sheetData>
    <row r="2" spans="2:8" s="6" customFormat="1" ht="20.25" customHeight="1">
      <c r="C2" s="5" t="s">
        <v>0</v>
      </c>
      <c r="D2" s="5" t="s">
        <v>1</v>
      </c>
      <c r="E2" s="5" t="s">
        <v>2</v>
      </c>
      <c r="G2" s="248" t="s">
        <v>95</v>
      </c>
      <c r="H2" s="249"/>
    </row>
    <row r="3" spans="2:8" s="6" customFormat="1" ht="20.25" customHeight="1">
      <c r="B3" s="45" t="s">
        <v>6</v>
      </c>
      <c r="C3" s="48">
        <v>0.5</v>
      </c>
      <c r="D3" s="49">
        <v>0.25</v>
      </c>
      <c r="E3" s="35">
        <v>0</v>
      </c>
      <c r="G3" s="38" t="s">
        <v>82</v>
      </c>
      <c r="H3" s="39">
        <v>0.1</v>
      </c>
    </row>
    <row r="4" spans="2:8" s="6" customFormat="1" ht="20.25" customHeight="1">
      <c r="B4" s="45" t="s">
        <v>10</v>
      </c>
      <c r="C4" s="50">
        <v>0.1</v>
      </c>
      <c r="D4" s="50">
        <v>0.05</v>
      </c>
      <c r="E4" s="35">
        <v>0</v>
      </c>
      <c r="G4" s="58" t="s">
        <v>11</v>
      </c>
      <c r="H4" s="59">
        <v>3</v>
      </c>
    </row>
    <row r="5" spans="2:8" s="6" customFormat="1" ht="20.25" customHeight="1">
      <c r="B5" s="45" t="s">
        <v>96</v>
      </c>
      <c r="C5" s="51">
        <f>4*365</f>
        <v>1460</v>
      </c>
      <c r="D5" s="51">
        <f>4*365</f>
        <v>1460</v>
      </c>
      <c r="E5" s="51">
        <f>4*365</f>
        <v>1460</v>
      </c>
      <c r="G5" s="16" t="s">
        <v>16</v>
      </c>
      <c r="H5" s="60">
        <v>0.17</v>
      </c>
    </row>
    <row r="6" spans="2:8" s="6" customFormat="1" ht="20.25" customHeight="1">
      <c r="B6" s="45" t="s">
        <v>17</v>
      </c>
      <c r="C6" s="51">
        <v>8</v>
      </c>
      <c r="D6" s="35">
        <v>9</v>
      </c>
      <c r="E6" s="35">
        <v>10</v>
      </c>
      <c r="G6" s="14" t="s">
        <v>85</v>
      </c>
      <c r="H6" s="62" t="s">
        <v>86</v>
      </c>
    </row>
    <row r="7" spans="2:8" s="6" customFormat="1" ht="20.25" customHeight="1">
      <c r="B7" s="46" t="s">
        <v>19</v>
      </c>
      <c r="C7" s="52">
        <v>0</v>
      </c>
      <c r="D7" s="53">
        <v>5.0000000000000001E-3</v>
      </c>
      <c r="E7" s="78">
        <v>0.01</v>
      </c>
    </row>
    <row r="8" spans="2:8" s="6" customFormat="1" ht="20.25" customHeight="1">
      <c r="B8" s="45" t="s">
        <v>97</v>
      </c>
      <c r="C8" s="54">
        <v>1800000</v>
      </c>
      <c r="D8" s="54">
        <f>AVERAGE(C8,E8)</f>
        <v>1061536.6499999999</v>
      </c>
      <c r="E8" s="54">
        <v>323073.3</v>
      </c>
    </row>
    <row r="9" spans="2:8" s="6" customFormat="1" ht="20.25" customHeight="1">
      <c r="B9" s="45" t="s">
        <v>98</v>
      </c>
      <c r="C9" s="55">
        <f>24*365</f>
        <v>8760</v>
      </c>
      <c r="D9" s="55">
        <f>24*365</f>
        <v>8760</v>
      </c>
      <c r="E9" s="55">
        <f>24*365</f>
        <v>8760</v>
      </c>
    </row>
    <row r="10" spans="2:8" s="6" customFormat="1" ht="20.25" customHeight="1">
      <c r="B10" s="45" t="s">
        <v>99</v>
      </c>
      <c r="C10" s="55">
        <v>0.5</v>
      </c>
      <c r="D10" s="55">
        <v>1</v>
      </c>
      <c r="E10" s="55">
        <v>1.5</v>
      </c>
    </row>
    <row r="11" spans="2:8" s="6" customFormat="1" ht="20.25" customHeight="1">
      <c r="B11" s="40" t="s">
        <v>100</v>
      </c>
      <c r="C11" s="79">
        <f>29.89/100</f>
        <v>0.2989</v>
      </c>
      <c r="D11" s="79">
        <f>29.89/100</f>
        <v>0.2989</v>
      </c>
      <c r="E11" s="79">
        <f>29.89/100</f>
        <v>0.2989</v>
      </c>
    </row>
    <row r="12" spans="2:8" s="6" customFormat="1" ht="20.25" customHeight="1">
      <c r="B12" s="40" t="s">
        <v>23</v>
      </c>
      <c r="C12" s="61">
        <v>0.6</v>
      </c>
      <c r="D12" s="61">
        <v>0.5</v>
      </c>
      <c r="E12" s="61">
        <v>0.4</v>
      </c>
    </row>
    <row r="13" spans="2:8" s="6" customFormat="1" ht="20.25" customHeight="1">
      <c r="B13" s="13"/>
      <c r="C13" s="80"/>
      <c r="D13" s="80"/>
      <c r="E13" s="80"/>
    </row>
    <row r="14" spans="2:8" ht="20.25" customHeight="1">
      <c r="C14" s="64"/>
    </row>
    <row r="15" spans="2:8" s="66" customFormat="1" ht="20.25" customHeight="1">
      <c r="B15" s="32" t="s">
        <v>101</v>
      </c>
      <c r="C15" s="65"/>
    </row>
    <row r="16" spans="2:8" ht="20.25" customHeight="1">
      <c r="B16" s="12"/>
      <c r="C16" s="64"/>
    </row>
    <row r="17" spans="2:6" ht="20.25" customHeight="1">
      <c r="B17" s="67"/>
      <c r="C17" s="44" t="s">
        <v>0</v>
      </c>
      <c r="D17" s="5" t="s">
        <v>1</v>
      </c>
      <c r="E17" s="5" t="s">
        <v>2</v>
      </c>
    </row>
    <row r="18" spans="2:6" ht="20.25" customHeight="1">
      <c r="B18" s="68" t="s">
        <v>102</v>
      </c>
      <c r="C18" s="18">
        <f>-(15%*C28)</f>
        <v>-270000</v>
      </c>
      <c r="D18" s="18">
        <f>(C18+E18)/2</f>
        <v>-248075.65499999997</v>
      </c>
      <c r="E18" s="18">
        <f>-(70%*E28)</f>
        <v>-226151.30999999997</v>
      </c>
    </row>
    <row r="19" spans="2:6" ht="20.25" customHeight="1">
      <c r="B19" s="68" t="s">
        <v>103</v>
      </c>
      <c r="C19" s="18">
        <f>-(C9*C10*C11)</f>
        <v>-1309.182</v>
      </c>
      <c r="D19" s="18">
        <f>-(D9*D10*D11)</f>
        <v>-2618.364</v>
      </c>
      <c r="E19" s="18">
        <f>-(E9*E10*E11)</f>
        <v>-3927.5459999999998</v>
      </c>
      <c r="F19" s="41" t="s">
        <v>104</v>
      </c>
    </row>
    <row r="20" spans="2:6" ht="20.25" customHeight="1">
      <c r="B20" s="68" t="s">
        <v>105</v>
      </c>
      <c r="C20" s="18">
        <f>-(C6*C5)</f>
        <v>-11680</v>
      </c>
      <c r="D20" s="18">
        <f>-(D6*D5)</f>
        <v>-13140</v>
      </c>
      <c r="E20" s="18">
        <f>-(E6*E5)</f>
        <v>-14600</v>
      </c>
      <c r="F20" s="41" t="s">
        <v>106</v>
      </c>
    </row>
    <row r="21" spans="2:6" ht="20.25" customHeight="1">
      <c r="B21" s="42"/>
      <c r="C21" s="69"/>
      <c r="D21" s="69"/>
      <c r="E21" s="69"/>
    </row>
    <row r="22" spans="2:6" ht="20.25" customHeight="1">
      <c r="B22" s="42"/>
      <c r="C22" s="69"/>
      <c r="D22" s="69"/>
      <c r="E22" s="69"/>
    </row>
    <row r="23" spans="2:6" s="66" customFormat="1" ht="20.25" customHeight="1">
      <c r="B23" s="32" t="s">
        <v>24</v>
      </c>
    </row>
    <row r="24" spans="2:6" ht="20.25" customHeight="1">
      <c r="B24" s="12"/>
    </row>
    <row r="25" spans="2:6" ht="20.25" customHeight="1">
      <c r="B25" s="67"/>
      <c r="C25" s="44" t="s">
        <v>0</v>
      </c>
      <c r="D25" s="5" t="s">
        <v>1</v>
      </c>
      <c r="E25" s="5" t="s">
        <v>2</v>
      </c>
    </row>
    <row r="26" spans="2:6" ht="20.25" customHeight="1">
      <c r="B26" s="68" t="s">
        <v>87</v>
      </c>
      <c r="C26" s="70">
        <v>-94900</v>
      </c>
      <c r="D26" s="17">
        <f>'Break-Even Analysis'!P4</f>
        <v>-150000</v>
      </c>
      <c r="E26" s="17">
        <v>-1000000</v>
      </c>
    </row>
    <row r="27" spans="2:6" ht="20.25" customHeight="1">
      <c r="B27" s="68" t="s">
        <v>27</v>
      </c>
      <c r="C27" s="17">
        <f>0.5*-C26</f>
        <v>47450</v>
      </c>
      <c r="D27" s="17">
        <f>0.25*-D26</f>
        <v>37500</v>
      </c>
      <c r="E27" s="17">
        <f>0*E26</f>
        <v>0</v>
      </c>
      <c r="F27" s="41" t="s">
        <v>28</v>
      </c>
    </row>
    <row r="28" spans="2:6" ht="20.25" customHeight="1">
      <c r="B28" s="71" t="s">
        <v>18</v>
      </c>
      <c r="C28" s="47">
        <v>1800000</v>
      </c>
      <c r="D28" s="47">
        <f>'Break-Even Analysis'!AL4</f>
        <v>1061536.6499999999</v>
      </c>
      <c r="E28" s="47">
        <v>323073.3</v>
      </c>
    </row>
    <row r="29" spans="2:6" ht="20.25" customHeight="1">
      <c r="B29" s="68" t="s">
        <v>88</v>
      </c>
      <c r="C29" s="17">
        <f>C4*C28</f>
        <v>180000</v>
      </c>
      <c r="D29" s="17">
        <f>D4*D28</f>
        <v>53076.832499999997</v>
      </c>
      <c r="E29" s="17">
        <f>E4*E28</f>
        <v>0</v>
      </c>
      <c r="F29" s="41" t="s">
        <v>30</v>
      </c>
    </row>
    <row r="30" spans="2:6" ht="20.25" customHeight="1">
      <c r="B30" s="40" t="s">
        <v>89</v>
      </c>
      <c r="C30" s="17">
        <f>SUM(C18:C19)</f>
        <v>-271309.18199999997</v>
      </c>
      <c r="D30" s="17">
        <f>SUM(D18:D19)</f>
        <v>-250694.01899999997</v>
      </c>
      <c r="E30" s="17">
        <f>SUM(E18:E19)</f>
        <v>-230078.85599999997</v>
      </c>
      <c r="F30" s="13" t="s">
        <v>107</v>
      </c>
    </row>
    <row r="31" spans="2:6" ht="20.25" customHeight="1">
      <c r="B31" s="40" t="s">
        <v>108</v>
      </c>
      <c r="C31" s="18">
        <f>C20</f>
        <v>-11680</v>
      </c>
      <c r="D31" s="18">
        <f>D20</f>
        <v>-13140</v>
      </c>
      <c r="E31" s="18">
        <f>E20</f>
        <v>-14600</v>
      </c>
      <c r="F31" s="41" t="s">
        <v>106</v>
      </c>
    </row>
    <row r="32" spans="2:6" ht="20.25" customHeight="1">
      <c r="B32" s="40" t="s">
        <v>109</v>
      </c>
      <c r="C32" s="17">
        <f>0*-C28</f>
        <v>0</v>
      </c>
      <c r="D32" s="17">
        <f>0.005*-D28</f>
        <v>-5307.68325</v>
      </c>
      <c r="E32" s="17">
        <f>0.01*-E28</f>
        <v>-3230.7330000000002</v>
      </c>
      <c r="F32" s="41" t="s">
        <v>36</v>
      </c>
    </row>
    <row r="33" spans="2:8" ht="20.25" customHeight="1">
      <c r="B33" s="40" t="s">
        <v>37</v>
      </c>
      <c r="C33" s="17">
        <f>C12*-C26</f>
        <v>56940</v>
      </c>
      <c r="D33" s="17">
        <f>D12*-D26</f>
        <v>75000</v>
      </c>
      <c r="E33" s="17">
        <f>E12*-E26</f>
        <v>400000</v>
      </c>
      <c r="F33" s="13" t="s">
        <v>38</v>
      </c>
    </row>
    <row r="34" spans="2:8" ht="20.25" customHeight="1">
      <c r="B34" s="40" t="s">
        <v>39</v>
      </c>
      <c r="C34" s="14">
        <v>5</v>
      </c>
      <c r="D34" s="14">
        <v>4</v>
      </c>
      <c r="E34" s="14">
        <v>3</v>
      </c>
    </row>
    <row r="36" spans="2:8" ht="20.25" customHeight="1">
      <c r="B36" s="42"/>
      <c r="C36" s="69"/>
      <c r="D36" s="69"/>
      <c r="E36" s="69"/>
    </row>
    <row r="37" spans="2:8" s="66" customFormat="1" ht="20.25" customHeight="1">
      <c r="B37" s="32" t="s">
        <v>40</v>
      </c>
    </row>
    <row r="38" spans="2:8" ht="20.25" customHeight="1">
      <c r="B38" s="12"/>
    </row>
    <row r="39" spans="2:8" ht="20.25" customHeight="1">
      <c r="B39" s="7"/>
      <c r="C39" s="7" t="s">
        <v>41</v>
      </c>
      <c r="D39" s="7" t="s">
        <v>42</v>
      </c>
      <c r="E39" s="7" t="s">
        <v>43</v>
      </c>
      <c r="F39" s="7" t="s">
        <v>44</v>
      </c>
      <c r="G39" s="7" t="s">
        <v>45</v>
      </c>
      <c r="H39" s="7" t="s">
        <v>46</v>
      </c>
    </row>
    <row r="40" spans="2:8" s="6" customFormat="1" ht="20.25" customHeight="1">
      <c r="B40" s="5" t="s">
        <v>92</v>
      </c>
      <c r="C40" s="5" t="s">
        <v>48</v>
      </c>
      <c r="D40" s="10" t="s">
        <v>49</v>
      </c>
      <c r="E40" s="10" t="s">
        <v>50</v>
      </c>
      <c r="F40" s="10" t="s">
        <v>51</v>
      </c>
      <c r="G40" s="10" t="s">
        <v>52</v>
      </c>
      <c r="H40" s="5" t="s">
        <v>53</v>
      </c>
    </row>
    <row r="41" spans="2:8" ht="20.25" customHeight="1">
      <c r="B41" s="1">
        <v>0</v>
      </c>
      <c r="C41" s="72">
        <f>SUM(D26:D27)</f>
        <v>-112500</v>
      </c>
      <c r="D41" s="73"/>
      <c r="E41" s="74"/>
      <c r="F41" s="74"/>
      <c r="G41" s="2">
        <f>C41</f>
        <v>-112500</v>
      </c>
      <c r="H41" s="75">
        <f>G41</f>
        <v>-112500</v>
      </c>
    </row>
    <row r="42" spans="2:8" ht="20.25" customHeight="1">
      <c r="B42" s="1">
        <v>1</v>
      </c>
      <c r="C42" s="18">
        <f>SUM($D$29:$D$32)</f>
        <v>-216064.86974999998</v>
      </c>
      <c r="D42" s="76">
        <f>-C41/3</f>
        <v>37500</v>
      </c>
      <c r="E42" s="76">
        <f>C42-D42</f>
        <v>-253564.86974999998</v>
      </c>
      <c r="F42" s="76">
        <f>-$H$5*E42</f>
        <v>43106.027857499997</v>
      </c>
      <c r="G42" s="76">
        <f>C42+F42</f>
        <v>-172958.8418925</v>
      </c>
      <c r="H42" s="18">
        <f>G42/((1+$H$3)^B42)</f>
        <v>-157235.31081136363</v>
      </c>
    </row>
    <row r="43" spans="2:8" ht="20.25" customHeight="1">
      <c r="B43" s="1">
        <v>2</v>
      </c>
      <c r="C43" s="18">
        <f>SUM($D$29:$D$32)</f>
        <v>-216064.86974999998</v>
      </c>
      <c r="D43" s="18">
        <f>-C41/3</f>
        <v>37500</v>
      </c>
      <c r="E43" s="76">
        <f>C43-D43</f>
        <v>-253564.86974999998</v>
      </c>
      <c r="F43" s="76">
        <f t="shared" ref="F43:F44" si="0">-$H$5*E43</f>
        <v>43106.027857499997</v>
      </c>
      <c r="G43" s="76">
        <f>C43+F43</f>
        <v>-172958.8418925</v>
      </c>
      <c r="H43" s="18">
        <f>G43/((1+$H$3)^B43)</f>
        <v>-142941.19164669421</v>
      </c>
    </row>
    <row r="44" spans="2:8" ht="20.25" customHeight="1">
      <c r="B44" s="1">
        <v>3</v>
      </c>
      <c r="C44" s="18">
        <f>SUM($D$29:$D$32)</f>
        <v>-216064.86974999998</v>
      </c>
      <c r="D44" s="18">
        <f>-C41/3</f>
        <v>37500</v>
      </c>
      <c r="E44" s="76">
        <f>C44-D44</f>
        <v>-253564.86974999998</v>
      </c>
      <c r="F44" s="76">
        <f t="shared" si="0"/>
        <v>43106.027857499997</v>
      </c>
      <c r="G44" s="76">
        <f>C44+F44</f>
        <v>-172958.8418925</v>
      </c>
      <c r="H44" s="18">
        <f>G44/((1+$H$3)^B44)</f>
        <v>-129946.53786063107</v>
      </c>
    </row>
    <row r="45" spans="2:8" ht="20.25" customHeight="1">
      <c r="B45" s="1">
        <v>3</v>
      </c>
      <c r="C45" s="18">
        <f>D33</f>
        <v>75000</v>
      </c>
      <c r="D45" s="77"/>
      <c r="E45" s="76">
        <f>D33</f>
        <v>75000</v>
      </c>
      <c r="F45" s="76">
        <f>-$H$5*E45</f>
        <v>-12750.000000000002</v>
      </c>
      <c r="G45" s="76">
        <f>C45+F45</f>
        <v>62250</v>
      </c>
      <c r="H45" s="18">
        <f>G45/((1+$H$3)^B45)</f>
        <v>46769.346356123198</v>
      </c>
    </row>
    <row r="46" spans="2:8" ht="20.25" customHeight="1">
      <c r="B46" s="43"/>
    </row>
    <row r="47" spans="2:8" ht="20.25" customHeight="1">
      <c r="G47" s="8" t="s">
        <v>53</v>
      </c>
      <c r="H47" s="18">
        <f>SUM(H41:H45)</f>
        <v>-495853.69396256562</v>
      </c>
    </row>
    <row r="48" spans="2:8" ht="20.25" customHeight="1">
      <c r="G48" s="8" t="s">
        <v>54</v>
      </c>
      <c r="H48" s="18">
        <f>PMT(H3,H4,-H47, 0,0)</f>
        <v>-199390.11077467524</v>
      </c>
    </row>
    <row r="49" spans="7:7" ht="20.25" customHeight="1">
      <c r="G49" s="9"/>
    </row>
  </sheetData>
  <mergeCells count="1">
    <mergeCell ref="G2:H2"/>
  </mergeCells>
  <conditionalFormatting sqref="C26:E34">
    <cfRule type="cellIs" dxfId="3" priority="2" operator="lessThanOrEqual">
      <formula>0</formula>
    </cfRule>
  </conditionalFormatting>
  <conditionalFormatting sqref="H47:H48">
    <cfRule type="cellIs" dxfId="2" priority="1" operator="lessThanOrEqual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E5405-0C4F-4F07-9300-1C032902D9E9}">
  <sheetPr>
    <tabColor theme="5" tint="0.79998168889431442"/>
    <pageSetUpPr fitToPage="1"/>
  </sheetPr>
  <dimension ref="A1:K40"/>
  <sheetViews>
    <sheetView topLeftCell="A24" zoomScale="96" workbookViewId="0">
      <selection activeCell="B50" sqref="B50"/>
    </sheetView>
  </sheetViews>
  <sheetFormatPr defaultRowHeight="15"/>
  <cols>
    <col min="1" max="1" width="47.42578125" bestFit="1" customWidth="1"/>
    <col min="2" max="9" width="17.85546875" customWidth="1"/>
    <col min="10" max="10" width="11.85546875" bestFit="1" customWidth="1"/>
    <col min="11" max="11" width="28.85546875" customWidth="1"/>
  </cols>
  <sheetData>
    <row r="1" spans="1:9">
      <c r="A1" s="3" t="s">
        <v>55</v>
      </c>
    </row>
    <row r="2" spans="1:9">
      <c r="A2" t="s">
        <v>56</v>
      </c>
    </row>
    <row r="3" spans="1:9">
      <c r="A3" t="s">
        <v>57</v>
      </c>
    </row>
    <row r="6" spans="1:9">
      <c r="E6" s="20" t="s">
        <v>110</v>
      </c>
      <c r="F6" s="20"/>
      <c r="G6" s="20"/>
    </row>
    <row r="7" spans="1:9">
      <c r="B7" s="21" t="s">
        <v>59</v>
      </c>
      <c r="C7" s="20"/>
      <c r="D7" s="20"/>
      <c r="E7" s="21" t="s">
        <v>60</v>
      </c>
      <c r="F7" s="20"/>
      <c r="G7" s="20"/>
      <c r="I7" s="19" t="s">
        <v>61</v>
      </c>
    </row>
    <row r="8" spans="1:9" s="153" customFormat="1">
      <c r="A8" s="153" t="s">
        <v>62</v>
      </c>
      <c r="B8" s="154" t="s">
        <v>63</v>
      </c>
      <c r="C8" s="154" t="s">
        <v>64</v>
      </c>
      <c r="D8" s="153" t="s">
        <v>65</v>
      </c>
      <c r="E8" s="154" t="s">
        <v>66</v>
      </c>
      <c r="F8" s="154" t="s">
        <v>1</v>
      </c>
      <c r="G8" s="153" t="s">
        <v>67</v>
      </c>
      <c r="H8" s="154" t="s">
        <v>68</v>
      </c>
      <c r="I8" s="154" t="s">
        <v>69</v>
      </c>
    </row>
    <row r="9" spans="1:9">
      <c r="A9" s="45" t="s">
        <v>87</v>
      </c>
      <c r="B9" s="25">
        <v>-1000000</v>
      </c>
      <c r="C9" s="27">
        <v>-150000</v>
      </c>
      <c r="D9" s="15">
        <v>-94900</v>
      </c>
      <c r="E9" s="22">
        <v>-1341566.69</v>
      </c>
      <c r="F9" s="22">
        <v>-491566.6876</v>
      </c>
      <c r="G9" s="56">
        <v>-436466.69</v>
      </c>
      <c r="H9" s="22">
        <v>905100</v>
      </c>
      <c r="I9" s="23">
        <v>0.81479118892633118</v>
      </c>
    </row>
    <row r="10" spans="1:9">
      <c r="A10" s="45" t="s">
        <v>88</v>
      </c>
      <c r="B10" s="26">
        <v>0</v>
      </c>
      <c r="C10" s="28">
        <v>53076.832499999997</v>
      </c>
      <c r="D10" s="15">
        <v>180000</v>
      </c>
      <c r="E10" s="22">
        <v>-601121.9</v>
      </c>
      <c r="F10" s="22">
        <v>-491566.6876</v>
      </c>
      <c r="G10" s="57">
        <v>-229586.21</v>
      </c>
      <c r="H10" s="22">
        <v>371535.69</v>
      </c>
      <c r="I10" s="23">
        <v>0.13729485781681025</v>
      </c>
    </row>
    <row r="11" spans="1:9">
      <c r="A11" s="45" t="s">
        <v>94</v>
      </c>
      <c r="B11" s="26">
        <v>56940</v>
      </c>
      <c r="C11" s="28">
        <v>75000</v>
      </c>
      <c r="D11" s="15">
        <v>400000</v>
      </c>
      <c r="E11" s="22">
        <v>-502828.75</v>
      </c>
      <c r="F11" s="22">
        <v>-491566.6876</v>
      </c>
      <c r="G11" s="57">
        <v>-288899.52</v>
      </c>
      <c r="H11" s="22">
        <v>213929.23</v>
      </c>
      <c r="I11" s="23">
        <v>4.5519077310309547E-2</v>
      </c>
    </row>
    <row r="12" spans="1:9">
      <c r="A12" s="45" t="s">
        <v>111</v>
      </c>
      <c r="B12" s="26">
        <v>0</v>
      </c>
      <c r="C12" s="28">
        <v>37500</v>
      </c>
      <c r="D12" s="15">
        <v>47450</v>
      </c>
      <c r="E12" s="22">
        <v>-529066.68999999994</v>
      </c>
      <c r="F12" s="22">
        <v>-491566.6876</v>
      </c>
      <c r="G12" s="57">
        <v>-481616.69</v>
      </c>
      <c r="H12" s="22">
        <v>47450</v>
      </c>
      <c r="I12" s="23">
        <v>2.239368823533908E-3</v>
      </c>
    </row>
    <row r="13" spans="1:9">
      <c r="A13" s="45" t="s">
        <v>109</v>
      </c>
      <c r="B13" s="26">
        <v>-5307.6832999999997</v>
      </c>
      <c r="C13" s="28">
        <v>-3230.7330000000002</v>
      </c>
      <c r="D13" s="91">
        <v>0</v>
      </c>
      <c r="E13" s="22">
        <v>-495853.69</v>
      </c>
      <c r="F13" s="22">
        <v>-491566.6876</v>
      </c>
      <c r="G13" s="92">
        <v>-484898.17</v>
      </c>
      <c r="H13" s="22">
        <v>10955.52</v>
      </c>
      <c r="I13" s="23">
        <v>1.1937659470357133E-4</v>
      </c>
    </row>
    <row r="14" spans="1:9">
      <c r="A14" s="45" t="s">
        <v>112</v>
      </c>
      <c r="B14" s="26">
        <v>-14600</v>
      </c>
      <c r="C14" s="28">
        <v>-13140</v>
      </c>
      <c r="D14" s="91">
        <v>-11680</v>
      </c>
      <c r="E14" s="22">
        <v>-494580.25</v>
      </c>
      <c r="F14" s="22">
        <v>-491566.6876</v>
      </c>
      <c r="G14" s="92">
        <v>-488553.12</v>
      </c>
      <c r="H14" s="22">
        <v>6027.13</v>
      </c>
      <c r="I14" s="23">
        <v>3.613052831142636E-5</v>
      </c>
    </row>
    <row r="15" spans="1:9">
      <c r="A15" s="45" t="s">
        <v>113</v>
      </c>
      <c r="B15" s="26">
        <v>323073.3</v>
      </c>
      <c r="C15" s="28">
        <v>1061536.6499999999</v>
      </c>
      <c r="D15" s="15">
        <v>1800000</v>
      </c>
      <c r="E15" s="22">
        <v>-491566.69</v>
      </c>
      <c r="F15" s="22">
        <v>-491566.6876</v>
      </c>
      <c r="G15" s="57">
        <v>-491566.69</v>
      </c>
      <c r="H15" s="22">
        <v>0</v>
      </c>
      <c r="I15" s="23">
        <v>0</v>
      </c>
    </row>
    <row r="16" spans="1:9">
      <c r="A16" s="45" t="s">
        <v>114</v>
      </c>
      <c r="B16" s="26">
        <v>-271309.18199999997</v>
      </c>
      <c r="C16" s="28">
        <v>-250694.01899999997</v>
      </c>
      <c r="D16" s="15">
        <v>-230078.85599999997</v>
      </c>
      <c r="E16" s="22">
        <v>-491566.69</v>
      </c>
      <c r="F16" s="22">
        <v>-491566.6876</v>
      </c>
      <c r="G16" s="57">
        <v>-491566.69</v>
      </c>
      <c r="H16" s="22">
        <v>0</v>
      </c>
      <c r="I16" s="23">
        <v>0</v>
      </c>
    </row>
    <row r="25" spans="11:11">
      <c r="K25" s="3" t="s">
        <v>78</v>
      </c>
    </row>
    <row r="26" spans="11:11">
      <c r="K26" t="s">
        <v>115</v>
      </c>
    </row>
    <row r="27" spans="11:11">
      <c r="K27" t="s">
        <v>116</v>
      </c>
    </row>
    <row r="28" spans="11:11">
      <c r="K28" t="s">
        <v>94</v>
      </c>
    </row>
    <row r="40" spans="1:9">
      <c r="A40" s="3" t="s">
        <v>79</v>
      </c>
      <c r="I40" s="4" t="s">
        <v>80</v>
      </c>
    </row>
  </sheetData>
  <sortState xmlns:xlrd2="http://schemas.microsoft.com/office/spreadsheetml/2017/richdata2" ref="A9:I16">
    <sortCondition descending="1" ref="H9"/>
  </sortState>
  <conditionalFormatting sqref="B9:H16">
    <cfRule type="cellIs" dxfId="1" priority="1" operator="lessThanOrEqual">
      <formula>0</formula>
    </cfRule>
  </conditionalFormatting>
  <pageMargins left="0.7" right="0.7" top="0.75" bottom="0.75" header="0.3" footer="0.3"/>
  <pageSetup scale="73" orientation="portrait" r:id="rId1"/>
  <headerFooter>
    <oddHeader>&amp;L&amp;"Arial,Bold"&amp;12This Version Not Licensed For Commercial Or Student Use</oddHeader>
    <oddFooter>&amp;L&amp;"Arial,Bold"&amp;12SensIt Trial Version, Only For Evaluation&amp;R&amp;"Arial,Bold"&amp;12TreePlan.com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4B986-6F94-41E5-BDB8-0DCE3A22F267}">
  <dimension ref="B2:P103"/>
  <sheetViews>
    <sheetView topLeftCell="A78" zoomScale="85" workbookViewId="0">
      <selection activeCell="H55" sqref="H55"/>
    </sheetView>
  </sheetViews>
  <sheetFormatPr defaultColWidth="8.7109375" defaultRowHeight="20.25" customHeight="1"/>
  <cols>
    <col min="1" max="1" width="8.7109375" style="6"/>
    <col min="2" max="2" width="33" style="6" customWidth="1"/>
    <col min="3" max="3" width="15.85546875" style="6" customWidth="1"/>
    <col min="4" max="4" width="14.7109375" style="6" customWidth="1"/>
    <col min="5" max="5" width="13.85546875" style="6" customWidth="1"/>
    <col min="6" max="6" width="17.5703125" style="6" customWidth="1"/>
    <col min="7" max="8" width="18.7109375" style="6" customWidth="1"/>
    <col min="9" max="9" width="8.7109375" style="6" bestFit="1"/>
    <col min="10" max="10" width="39.85546875" style="6" customWidth="1"/>
    <col min="11" max="14" width="17.7109375" style="6" customWidth="1"/>
    <col min="15" max="15" width="12.5703125" style="6" bestFit="1" customWidth="1"/>
    <col min="16" max="16384" width="8.7109375" style="6"/>
  </cols>
  <sheetData>
    <row r="2" spans="2:11" s="220" customFormat="1" ht="20.25" customHeight="1">
      <c r="B2" s="221" t="s">
        <v>117</v>
      </c>
      <c r="C2" s="222"/>
      <c r="D2" s="223"/>
      <c r="E2" s="224"/>
      <c r="F2" s="225"/>
    </row>
    <row r="3" spans="2:11" ht="20.25" customHeight="1">
      <c r="B3" s="9"/>
    </row>
    <row r="4" spans="2:11" ht="20.25" customHeight="1">
      <c r="F4" s="251" t="s">
        <v>118</v>
      </c>
      <c r="G4" s="254"/>
      <c r="H4" s="252"/>
      <c r="J4" s="248" t="s">
        <v>3</v>
      </c>
      <c r="K4" s="249"/>
    </row>
    <row r="5" spans="2:11" ht="20.25" customHeight="1">
      <c r="B5" s="251" t="s">
        <v>119</v>
      </c>
      <c r="C5" s="252"/>
      <c r="D5" s="34" t="s">
        <v>120</v>
      </c>
      <c r="F5" s="5" t="s">
        <v>121</v>
      </c>
      <c r="G5" s="5" t="s">
        <v>1</v>
      </c>
      <c r="H5" s="5" t="s">
        <v>122</v>
      </c>
      <c r="J5" s="38" t="s">
        <v>7</v>
      </c>
      <c r="K5" s="39">
        <v>0.1</v>
      </c>
    </row>
    <row r="6" spans="2:11" ht="20.25" customHeight="1">
      <c r="B6" s="24" t="s">
        <v>87</v>
      </c>
      <c r="C6" s="29" t="s">
        <v>123</v>
      </c>
      <c r="D6" s="94">
        <v>-5466</v>
      </c>
      <c r="F6" s="101">
        <v>-4500</v>
      </c>
      <c r="G6" s="33">
        <v>-5466</v>
      </c>
      <c r="H6" s="33">
        <v>-6076</v>
      </c>
      <c r="J6" s="38" t="s">
        <v>11</v>
      </c>
      <c r="K6" s="98">
        <v>3</v>
      </c>
    </row>
    <row r="7" spans="2:11" ht="20.25" customHeight="1">
      <c r="B7" s="24" t="s">
        <v>111</v>
      </c>
      <c r="C7" s="29" t="s">
        <v>124</v>
      </c>
      <c r="D7" s="93">
        <v>1366.5</v>
      </c>
      <c r="F7" s="101">
        <v>2250</v>
      </c>
      <c r="G7" s="130">
        <v>1366.5</v>
      </c>
      <c r="H7" s="130">
        <v>0</v>
      </c>
      <c r="J7" s="38" t="s">
        <v>16</v>
      </c>
      <c r="K7" s="39">
        <v>0.17</v>
      </c>
    </row>
    <row r="8" spans="2:11" ht="20.25" customHeight="1">
      <c r="B8" s="24" t="s">
        <v>88</v>
      </c>
      <c r="C8" s="29" t="s">
        <v>125</v>
      </c>
      <c r="D8" s="93">
        <v>90230.615250000003</v>
      </c>
      <c r="F8" s="101">
        <v>306000</v>
      </c>
      <c r="G8" s="33">
        <v>90230.615250000003</v>
      </c>
      <c r="H8" s="33">
        <v>0</v>
      </c>
      <c r="J8" s="38" t="s">
        <v>18</v>
      </c>
      <c r="K8" s="18">
        <v>600000</v>
      </c>
    </row>
    <row r="9" spans="2:11" ht="20.25" customHeight="1">
      <c r="B9" s="24" t="s">
        <v>114</v>
      </c>
      <c r="C9" s="29" t="s">
        <v>126</v>
      </c>
      <c r="D9" s="93">
        <v>-2100</v>
      </c>
      <c r="F9" s="101">
        <v>-1200</v>
      </c>
      <c r="G9" s="33">
        <v>-2100</v>
      </c>
      <c r="H9" s="33">
        <v>-3000</v>
      </c>
    </row>
    <row r="10" spans="2:11" ht="20.25" customHeight="1">
      <c r="B10" s="24" t="s">
        <v>112</v>
      </c>
      <c r="C10" s="29" t="s">
        <v>127</v>
      </c>
      <c r="D10" s="93">
        <v>-41600</v>
      </c>
      <c r="F10" s="101">
        <v>-33280</v>
      </c>
      <c r="G10" s="33">
        <v>-41600</v>
      </c>
      <c r="H10" s="33">
        <v>-49920</v>
      </c>
    </row>
    <row r="11" spans="2:11" ht="20.25" customHeight="1">
      <c r="B11" s="24" t="s">
        <v>109</v>
      </c>
      <c r="C11" s="29" t="s">
        <v>128</v>
      </c>
      <c r="D11" s="93">
        <v>-159.23049749999998</v>
      </c>
      <c r="F11" s="101">
        <v>0</v>
      </c>
      <c r="G11" s="33">
        <v>-159.23049749999998</v>
      </c>
      <c r="H11" s="33">
        <v>-161.53665000000001</v>
      </c>
    </row>
    <row r="12" spans="2:11" ht="20.25" customHeight="1">
      <c r="B12" s="24" t="s">
        <v>94</v>
      </c>
      <c r="C12" s="29" t="s">
        <v>127</v>
      </c>
      <c r="D12" s="95">
        <v>2186.4</v>
      </c>
      <c r="F12" s="101">
        <v>2250</v>
      </c>
      <c r="G12" s="33">
        <v>2186.4</v>
      </c>
      <c r="H12" s="33">
        <v>1822.8</v>
      </c>
    </row>
    <row r="13" spans="2:11" ht="20.25" customHeight="1">
      <c r="B13" s="24" t="s">
        <v>39</v>
      </c>
      <c r="C13" s="29" t="s">
        <v>129</v>
      </c>
      <c r="D13" s="24">
        <f>G13</f>
        <v>5</v>
      </c>
      <c r="F13" s="24">
        <v>3</v>
      </c>
      <c r="G13" s="24">
        <v>5</v>
      </c>
      <c r="H13" s="24">
        <v>7</v>
      </c>
    </row>
    <row r="15" spans="2:11" ht="20.25" customHeight="1">
      <c r="B15" s="24" t="s">
        <v>58</v>
      </c>
      <c r="C15" s="15">
        <v>93556.207648792813</v>
      </c>
      <c r="F15" s="122"/>
      <c r="G15" s="122"/>
      <c r="H15" s="122"/>
      <c r="J15"/>
    </row>
    <row r="16" spans="2:11" ht="20.25" customHeight="1">
      <c r="B16" s="24" t="s">
        <v>130</v>
      </c>
      <c r="C16" s="15">
        <v>37620.336066629381</v>
      </c>
    </row>
    <row r="17" spans="2:10" ht="20.25" customHeight="1" thickBot="1">
      <c r="B17" s="43"/>
      <c r="C17" s="200"/>
      <c r="D17" s="43"/>
      <c r="E17" s="43"/>
      <c r="F17" s="43"/>
    </row>
    <row r="18" spans="2:10" ht="20.25" customHeight="1" thickBot="1">
      <c r="B18" s="174" t="s">
        <v>131</v>
      </c>
      <c r="C18" s="175">
        <v>0</v>
      </c>
      <c r="D18" s="175">
        <v>1</v>
      </c>
      <c r="E18" s="175">
        <v>2</v>
      </c>
      <c r="F18" s="197">
        <v>3</v>
      </c>
    </row>
    <row r="19" spans="2:10" ht="20.25" customHeight="1">
      <c r="B19" s="205" t="s">
        <v>48</v>
      </c>
      <c r="C19" s="206"/>
      <c r="D19" s="206"/>
      <c r="E19" s="206"/>
      <c r="F19" s="207"/>
      <c r="J19"/>
    </row>
    <row r="20" spans="2:10" ht="20.25" customHeight="1">
      <c r="B20" s="219" t="s">
        <v>132</v>
      </c>
      <c r="C20" s="179">
        <f>D6+D7</f>
        <v>-4099.5</v>
      </c>
      <c r="D20" s="179"/>
      <c r="E20" s="179"/>
      <c r="F20" s="208">
        <f>D12</f>
        <v>2186.4</v>
      </c>
      <c r="J20"/>
    </row>
    <row r="21" spans="2:10" ht="20.25" customHeight="1">
      <c r="B21" s="202" t="s">
        <v>88</v>
      </c>
      <c r="C21" s="179"/>
      <c r="D21" s="179">
        <f>$D$8</f>
        <v>90230.615250000003</v>
      </c>
      <c r="E21" s="179">
        <f>$D$8</f>
        <v>90230.615250000003</v>
      </c>
      <c r="F21" s="208">
        <f>$D$8</f>
        <v>90230.615250000003</v>
      </c>
      <c r="J21"/>
    </row>
    <row r="22" spans="2:10" ht="20.25" customHeight="1">
      <c r="B22" s="202" t="s">
        <v>133</v>
      </c>
      <c r="C22" s="179"/>
      <c r="D22" s="179">
        <f>$D$9</f>
        <v>-2100</v>
      </c>
      <c r="E22" s="179">
        <f t="shared" ref="E22:F22" si="0">$D$9</f>
        <v>-2100</v>
      </c>
      <c r="F22" s="208">
        <f t="shared" si="0"/>
        <v>-2100</v>
      </c>
      <c r="J22"/>
    </row>
    <row r="23" spans="2:10" ht="20.25" customHeight="1">
      <c r="B23" s="202" t="s">
        <v>134</v>
      </c>
      <c r="C23" s="179"/>
      <c r="D23" s="179">
        <f>$D$10</f>
        <v>-41600</v>
      </c>
      <c r="E23" s="179">
        <f t="shared" ref="E23:F23" si="1">$D$10</f>
        <v>-41600</v>
      </c>
      <c r="F23" s="208">
        <f t="shared" si="1"/>
        <v>-41600</v>
      </c>
      <c r="J23"/>
    </row>
    <row r="24" spans="2:10" ht="20.25" customHeight="1">
      <c r="B24" s="202" t="s">
        <v>135</v>
      </c>
      <c r="C24" s="179"/>
      <c r="D24" s="179">
        <f>$D$11</f>
        <v>-159.23049749999998</v>
      </c>
      <c r="E24" s="179">
        <f t="shared" ref="E24:F24" si="2">$D$11</f>
        <v>-159.23049749999998</v>
      </c>
      <c r="F24" s="208">
        <f t="shared" si="2"/>
        <v>-159.23049749999998</v>
      </c>
      <c r="J24"/>
    </row>
    <row r="25" spans="2:10" ht="20.25" customHeight="1">
      <c r="B25" s="212" t="s">
        <v>136</v>
      </c>
      <c r="C25" s="213"/>
      <c r="D25" s="213">
        <f>SUM(D21:D24)</f>
        <v>46371.384752500002</v>
      </c>
      <c r="E25" s="213">
        <f>SUM(E21:E24)</f>
        <v>46371.384752500002</v>
      </c>
      <c r="F25" s="214">
        <f>SUM(F20:F24)</f>
        <v>48557.784752499996</v>
      </c>
      <c r="J25"/>
    </row>
    <row r="26" spans="2:10" ht="20.25" customHeight="1">
      <c r="B26" s="203" t="s">
        <v>49</v>
      </c>
      <c r="C26" s="204"/>
      <c r="D26" s="204">
        <f>-$C$20/3</f>
        <v>1366.5</v>
      </c>
      <c r="E26" s="204">
        <f>-$C$20/3</f>
        <v>1366.5</v>
      </c>
      <c r="F26" s="209">
        <f>-$C$20/3</f>
        <v>1366.5</v>
      </c>
    </row>
    <row r="27" spans="2:10" ht="20.25" customHeight="1">
      <c r="B27" s="203" t="s">
        <v>50</v>
      </c>
      <c r="C27" s="204"/>
      <c r="D27" s="204">
        <f>D25-D26</f>
        <v>45004.884752500002</v>
      </c>
      <c r="E27" s="204">
        <f>E25-E26</f>
        <v>45004.884752500002</v>
      </c>
      <c r="F27" s="209">
        <f>F25-F26</f>
        <v>47191.284752499996</v>
      </c>
    </row>
    <row r="28" spans="2:10" ht="20.25" customHeight="1" thickBot="1">
      <c r="B28" s="203" t="s">
        <v>137</v>
      </c>
      <c r="C28" s="204"/>
      <c r="D28" s="204">
        <f>-$K$7*D27</f>
        <v>-7650.8304079250011</v>
      </c>
      <c r="E28" s="204">
        <f>-$K$7*E27</f>
        <v>-7650.8304079250011</v>
      </c>
      <c r="F28" s="209">
        <f>-$K$7*F27</f>
        <v>-8022.5184079250002</v>
      </c>
    </row>
    <row r="29" spans="2:10" ht="20.25" customHeight="1" thickBot="1">
      <c r="B29" s="201" t="s">
        <v>52</v>
      </c>
      <c r="C29" s="210">
        <f>C20</f>
        <v>-4099.5</v>
      </c>
      <c r="D29" s="210">
        <f>D25+D28</f>
        <v>38720.554344575001</v>
      </c>
      <c r="E29" s="210">
        <f>E25+E28</f>
        <v>38720.554344575001</v>
      </c>
      <c r="F29" s="211">
        <f>F25+F28</f>
        <v>40535.266344574993</v>
      </c>
    </row>
    <row r="30" spans="2:10" ht="20.25" customHeight="1">
      <c r="B30" s="81"/>
      <c r="C30" s="181"/>
      <c r="D30" s="181"/>
      <c r="E30" s="181"/>
      <c r="F30" s="181"/>
    </row>
    <row r="31" spans="2:10" ht="20.25" customHeight="1">
      <c r="B31" s="43" t="s">
        <v>138</v>
      </c>
      <c r="C31" s="181">
        <f>C29</f>
        <v>-4099.5</v>
      </c>
      <c r="D31" s="181">
        <f>D29</f>
        <v>38720.554344575001</v>
      </c>
      <c r="E31" s="181">
        <f t="shared" ref="E31:F31" si="3">E29</f>
        <v>38720.554344575001</v>
      </c>
      <c r="F31" s="181">
        <f t="shared" si="3"/>
        <v>40535.266344574993</v>
      </c>
    </row>
    <row r="32" spans="2:10" ht="20.25" customHeight="1">
      <c r="B32" s="81" t="s">
        <v>139</v>
      </c>
      <c r="C32" s="181">
        <f>C29+NPV(K5,D29:F29)</f>
        <v>93556.207648792813</v>
      </c>
      <c r="D32" s="178" t="str">
        <f>IF(C32 &gt;=0, "Feasible", "Infeasible")</f>
        <v>Feasible</v>
      </c>
      <c r="E32" s="181"/>
      <c r="F32" s="181"/>
    </row>
    <row r="33" spans="2:16" ht="20.25" customHeight="1">
      <c r="B33" s="81" t="s">
        <v>140</v>
      </c>
      <c r="C33" s="181"/>
      <c r="D33" s="178" t="str">
        <f>IF(C33&gt;=D8, "Feasible", "Infeasible")</f>
        <v>Infeasible</v>
      </c>
      <c r="E33" s="181"/>
      <c r="F33" s="181"/>
      <c r="G33"/>
      <c r="H33"/>
    </row>
    <row r="34" spans="2:16" ht="20.25" customHeight="1">
      <c r="B34" s="162"/>
      <c r="C34" s="160"/>
      <c r="D34" s="161"/>
      <c r="E34" s="163"/>
      <c r="F34" s="159"/>
    </row>
    <row r="35" spans="2:16" ht="20.25" customHeight="1">
      <c r="B35" s="162"/>
      <c r="C35" s="160"/>
      <c r="D35" s="161"/>
      <c r="E35" s="163"/>
      <c r="F35" s="159"/>
    </row>
    <row r="36" spans="2:16" s="167" customFormat="1" ht="20.25" customHeight="1">
      <c r="B36" s="172" t="s">
        <v>141</v>
      </c>
      <c r="C36" s="168"/>
      <c r="D36" s="169"/>
      <c r="E36" s="170"/>
      <c r="F36" s="171"/>
    </row>
    <row r="37" spans="2:16" customFormat="1" ht="20.25" customHeight="1"/>
    <row r="38" spans="2:16" ht="20.25" customHeight="1">
      <c r="F38" s="251" t="s">
        <v>118</v>
      </c>
      <c r="G38" s="254"/>
      <c r="H38" s="252"/>
      <c r="J38" s="248" t="s">
        <v>81</v>
      </c>
      <c r="K38" s="250"/>
    </row>
    <row r="39" spans="2:16" ht="20.25" customHeight="1">
      <c r="B39" s="253" t="s">
        <v>119</v>
      </c>
      <c r="C39" s="253"/>
      <c r="D39" s="165" t="s">
        <v>120</v>
      </c>
      <c r="F39" s="5" t="s">
        <v>122</v>
      </c>
      <c r="G39" s="5" t="s">
        <v>1</v>
      </c>
      <c r="H39" s="5" t="s">
        <v>121</v>
      </c>
      <c r="J39" s="136" t="s">
        <v>82</v>
      </c>
      <c r="K39" s="50">
        <v>0.1</v>
      </c>
      <c r="M39"/>
      <c r="N39"/>
      <c r="O39"/>
      <c r="P39"/>
    </row>
    <row r="40" spans="2:16" ht="20.25" customHeight="1">
      <c r="B40" s="24" t="s">
        <v>87</v>
      </c>
      <c r="C40" s="24" t="s">
        <v>123</v>
      </c>
      <c r="D40" s="33">
        <v>-125000</v>
      </c>
      <c r="F40" s="33">
        <v>-150000</v>
      </c>
      <c r="G40" s="33">
        <v>-125000</v>
      </c>
      <c r="H40" s="33">
        <v>-110000</v>
      </c>
      <c r="J40" s="137" t="s">
        <v>11</v>
      </c>
      <c r="K40" s="143">
        <v>3</v>
      </c>
      <c r="M40"/>
      <c r="N40"/>
      <c r="O40"/>
      <c r="P40"/>
    </row>
    <row r="41" spans="2:16" ht="20.25" customHeight="1">
      <c r="B41" s="24" t="s">
        <v>111</v>
      </c>
      <c r="C41" s="24" t="s">
        <v>124</v>
      </c>
      <c r="D41" s="33">
        <v>31250</v>
      </c>
      <c r="F41" s="33">
        <v>0</v>
      </c>
      <c r="G41" s="33">
        <v>31250</v>
      </c>
      <c r="H41" s="33">
        <v>55000</v>
      </c>
      <c r="J41" s="1" t="s">
        <v>83</v>
      </c>
      <c r="K41" s="54">
        <v>600000</v>
      </c>
      <c r="M41"/>
      <c r="N41"/>
      <c r="O41"/>
      <c r="P41"/>
    </row>
    <row r="42" spans="2:16" ht="20.25" customHeight="1">
      <c r="B42" s="24" t="s">
        <v>88</v>
      </c>
      <c r="C42" s="24" t="s">
        <v>125</v>
      </c>
      <c r="D42" s="33">
        <v>159230.49749999997</v>
      </c>
      <c r="F42" s="33">
        <f>0*F33</f>
        <v>0</v>
      </c>
      <c r="G42" s="33">
        <v>159230.5</v>
      </c>
      <c r="H42" s="33">
        <f>540000</f>
        <v>540000</v>
      </c>
      <c r="J42" s="1" t="s">
        <v>84</v>
      </c>
      <c r="K42" s="62">
        <v>0.17</v>
      </c>
      <c r="M42"/>
      <c r="N42"/>
      <c r="O42"/>
      <c r="P42"/>
    </row>
    <row r="43" spans="2:16" ht="20.25" customHeight="1">
      <c r="B43" s="24" t="s">
        <v>114</v>
      </c>
      <c r="C43" s="24" t="s">
        <v>126</v>
      </c>
      <c r="D43" s="33">
        <v>-20675.05</v>
      </c>
      <c r="F43" s="101">
        <v>-20352</v>
      </c>
      <c r="G43" s="101">
        <v>-20675.05</v>
      </c>
      <c r="H43" s="101">
        <v>-21690.3</v>
      </c>
      <c r="J43" s="1" t="s">
        <v>85</v>
      </c>
      <c r="K43" s="62" t="s">
        <v>86</v>
      </c>
    </row>
    <row r="44" spans="2:16" ht="20.25" customHeight="1">
      <c r="B44" s="24" t="s">
        <v>112</v>
      </c>
      <c r="C44" s="24" t="s">
        <v>127</v>
      </c>
      <c r="D44" s="33">
        <v>-20800</v>
      </c>
      <c r="F44" s="33">
        <v>-24960</v>
      </c>
      <c r="G44" s="33">
        <v>-20800</v>
      </c>
      <c r="H44" s="33">
        <v>-16640</v>
      </c>
      <c r="J44"/>
    </row>
    <row r="45" spans="2:16" ht="20.25" customHeight="1">
      <c r="B45" s="24" t="s">
        <v>109</v>
      </c>
      <c r="C45" s="24" t="s">
        <v>128</v>
      </c>
      <c r="D45" s="33">
        <v>-37153.782749999998</v>
      </c>
      <c r="F45" s="33">
        <v>-22615.131000000001</v>
      </c>
      <c r="G45" s="33">
        <v>-21000.000000000004</v>
      </c>
      <c r="H45" s="33">
        <v>0</v>
      </c>
      <c r="J45"/>
    </row>
    <row r="46" spans="2:16" ht="20.25" customHeight="1">
      <c r="B46" s="24" t="s">
        <v>94</v>
      </c>
      <c r="C46" s="24" t="s">
        <v>127</v>
      </c>
      <c r="D46" s="33">
        <v>50000</v>
      </c>
      <c r="F46" s="33">
        <v>45000</v>
      </c>
      <c r="G46" s="33">
        <v>50000</v>
      </c>
      <c r="H46" s="33">
        <v>55000</v>
      </c>
      <c r="J46"/>
    </row>
    <row r="47" spans="2:16" ht="20.25" customHeight="1">
      <c r="B47" s="24" t="s">
        <v>39</v>
      </c>
      <c r="C47" s="24" t="s">
        <v>129</v>
      </c>
      <c r="D47" s="166">
        <v>5</v>
      </c>
      <c r="F47" s="33">
        <v>323073.3</v>
      </c>
      <c r="G47" s="33">
        <v>1061536.6499999999</v>
      </c>
      <c r="H47" s="33">
        <v>1800000</v>
      </c>
      <c r="J47"/>
    </row>
    <row r="48" spans="2:16" ht="20.25" customHeight="1">
      <c r="D48" s="122"/>
      <c r="F48" s="164"/>
      <c r="G48" s="164"/>
      <c r="H48" s="164"/>
      <c r="J48"/>
    </row>
    <row r="49" spans="2:10" ht="20.25" customHeight="1">
      <c r="B49" s="24" t="s">
        <v>58</v>
      </c>
      <c r="C49" s="15">
        <v>95098.785025582183</v>
      </c>
      <c r="F49" s="164"/>
      <c r="G49" s="164"/>
      <c r="H49" s="164"/>
      <c r="J49"/>
    </row>
    <row r="50" spans="2:10" ht="20.25" customHeight="1">
      <c r="B50" s="24" t="s">
        <v>130</v>
      </c>
      <c r="C50" s="15">
        <v>38240.629265573996</v>
      </c>
    </row>
    <row r="51" spans="2:10" ht="20.25" customHeight="1">
      <c r="C51" s="30"/>
    </row>
    <row r="52" spans="2:10" ht="20.25" customHeight="1" thickBot="1">
      <c r="C52" s="30"/>
    </row>
    <row r="53" spans="2:10" ht="20.25" customHeight="1" thickBot="1">
      <c r="B53" s="196" t="s">
        <v>142</v>
      </c>
      <c r="C53" s="175">
        <v>0</v>
      </c>
      <c r="D53" s="175">
        <v>1</v>
      </c>
      <c r="E53" s="175">
        <v>2</v>
      </c>
      <c r="F53" s="197">
        <v>3</v>
      </c>
    </row>
    <row r="54" spans="2:10" ht="20.25" customHeight="1">
      <c r="B54" s="242" t="s">
        <v>48</v>
      </c>
      <c r="C54" s="243"/>
      <c r="D54" s="243"/>
      <c r="E54" s="243"/>
      <c r="F54" s="244"/>
    </row>
    <row r="55" spans="2:10" ht="20.25" customHeight="1">
      <c r="B55" s="218" t="s">
        <v>132</v>
      </c>
      <c r="C55" s="176">
        <f>D40+D41</f>
        <v>-93750</v>
      </c>
      <c r="D55" s="176"/>
      <c r="E55" s="176"/>
      <c r="F55" s="198">
        <f>D46</f>
        <v>50000</v>
      </c>
    </row>
    <row r="56" spans="2:10" ht="20.25" customHeight="1">
      <c r="B56" s="193" t="s">
        <v>88</v>
      </c>
      <c r="C56" s="176"/>
      <c r="D56" s="176">
        <f>$D$42</f>
        <v>159230.49749999997</v>
      </c>
      <c r="E56" s="176">
        <f>$D$42</f>
        <v>159230.49749999997</v>
      </c>
      <c r="F56" s="198">
        <f>$D$42</f>
        <v>159230.49749999997</v>
      </c>
    </row>
    <row r="57" spans="2:10" ht="20.25" customHeight="1">
      <c r="B57" s="193" t="s">
        <v>133</v>
      </c>
      <c r="C57" s="176"/>
      <c r="D57" s="176">
        <f>$D$43</f>
        <v>-20675.05</v>
      </c>
      <c r="E57" s="176">
        <f>$D$43</f>
        <v>-20675.05</v>
      </c>
      <c r="F57" s="198">
        <f>$D$43</f>
        <v>-20675.05</v>
      </c>
    </row>
    <row r="58" spans="2:10" ht="20.25" customHeight="1">
      <c r="B58" s="193" t="s">
        <v>134</v>
      </c>
      <c r="C58" s="176"/>
      <c r="D58" s="176">
        <f>$D$44</f>
        <v>-20800</v>
      </c>
      <c r="E58" s="176">
        <f>$D$44</f>
        <v>-20800</v>
      </c>
      <c r="F58" s="198">
        <f>$D$44</f>
        <v>-20800</v>
      </c>
    </row>
    <row r="59" spans="2:10" ht="20.25" customHeight="1">
      <c r="B59" s="193" t="s">
        <v>135</v>
      </c>
      <c r="C59" s="176"/>
      <c r="D59" s="176">
        <f>$D$45</f>
        <v>-37153.782749999998</v>
      </c>
      <c r="E59" s="176">
        <f>$D$45</f>
        <v>-37153.782749999998</v>
      </c>
      <c r="F59" s="198">
        <f>$D$45</f>
        <v>-37153.782749999998</v>
      </c>
    </row>
    <row r="60" spans="2:10" ht="20.25" customHeight="1" thickBot="1">
      <c r="B60" s="245" t="s">
        <v>136</v>
      </c>
      <c r="C60" s="246"/>
      <c r="D60" s="246">
        <f>SUM(D$56:D$59)</f>
        <v>80601.664749999982</v>
      </c>
      <c r="E60" s="246">
        <f t="shared" ref="E60" si="4">SUM(E$56:E$59)</f>
        <v>80601.664749999982</v>
      </c>
      <c r="F60" s="247">
        <f>SUM(F55:F$59)</f>
        <v>130601.66474999998</v>
      </c>
    </row>
    <row r="61" spans="2:10" ht="20.25" customHeight="1" thickBot="1">
      <c r="B61" s="194" t="s">
        <v>49</v>
      </c>
      <c r="C61" s="240"/>
      <c r="D61" s="240">
        <f>-$C$55/3</f>
        <v>31250</v>
      </c>
      <c r="E61" s="240">
        <f>-$C$55/3</f>
        <v>31250</v>
      </c>
      <c r="F61" s="241">
        <f>-$C$55/3</f>
        <v>31250</v>
      </c>
    </row>
    <row r="62" spans="2:10" ht="20.25" customHeight="1" thickBot="1">
      <c r="B62" s="194" t="s">
        <v>50</v>
      </c>
      <c r="C62" s="240"/>
      <c r="D62" s="240">
        <f>D$60-D$61</f>
        <v>49351.664749999982</v>
      </c>
      <c r="E62" s="240">
        <f>E$60-E$61</f>
        <v>49351.664749999982</v>
      </c>
      <c r="F62" s="241">
        <f>F$60-F$61</f>
        <v>99351.664749999982</v>
      </c>
    </row>
    <row r="63" spans="2:10" ht="20.25" customHeight="1" thickBot="1">
      <c r="B63" s="195" t="s">
        <v>137</v>
      </c>
      <c r="C63" s="238"/>
      <c r="D63" s="238">
        <f>-$K$7*D62</f>
        <v>-8389.7830074999983</v>
      </c>
      <c r="E63" s="238">
        <f>-$K$7*E62</f>
        <v>-8389.7830074999983</v>
      </c>
      <c r="F63" s="239">
        <f>-$K$7*F62</f>
        <v>-16889.783007499998</v>
      </c>
    </row>
    <row r="64" spans="2:10" ht="20.25" customHeight="1" thickBot="1">
      <c r="B64" s="195" t="s">
        <v>52</v>
      </c>
      <c r="C64" s="177">
        <f>C55</f>
        <v>-93750</v>
      </c>
      <c r="D64" s="177">
        <f>D60+D63</f>
        <v>72211.881742499987</v>
      </c>
      <c r="E64" s="177">
        <f>E60+E63</f>
        <v>72211.881742499987</v>
      </c>
      <c r="F64" s="199">
        <f>F60+F63</f>
        <v>113711.88174249999</v>
      </c>
    </row>
    <row r="65" spans="2:15" ht="20.25" customHeight="1">
      <c r="C65" s="178"/>
      <c r="D65" s="178"/>
      <c r="E65" s="178"/>
      <c r="F65" s="178"/>
    </row>
    <row r="66" spans="2:15" ht="20.25" customHeight="1">
      <c r="B66" s="43" t="s">
        <v>138</v>
      </c>
      <c r="C66" s="180">
        <f>C64</f>
        <v>-93750</v>
      </c>
      <c r="D66" s="180">
        <f>D64</f>
        <v>72211.881742499987</v>
      </c>
      <c r="E66" s="180">
        <f t="shared" ref="E66" si="5">E64</f>
        <v>72211.881742499987</v>
      </c>
      <c r="F66" s="180">
        <f>F64</f>
        <v>113711.88174249999</v>
      </c>
    </row>
    <row r="67" spans="2:15" ht="20.25" customHeight="1">
      <c r="B67" s="81" t="s">
        <v>110</v>
      </c>
      <c r="C67" s="178">
        <f>C64+NPV(K5,D64:F64)</f>
        <v>117009.82612146877</v>
      </c>
      <c r="D67" s="178" t="str">
        <f>IF(C67 &gt;=0, "Feasible", "Infeasible")</f>
        <v>Feasible</v>
      </c>
      <c r="E67" s="180"/>
      <c r="F67" s="180"/>
    </row>
    <row r="68" spans="2:15" ht="20.25" customHeight="1">
      <c r="B68" s="81" t="s">
        <v>140</v>
      </c>
      <c r="C68" s="178"/>
      <c r="D68" s="178" t="str">
        <f>IF(C68&gt;=D42, "Feasible", "Infeasible")</f>
        <v>Infeasible</v>
      </c>
      <c r="E68" s="180"/>
      <c r="F68" s="180"/>
    </row>
    <row r="69" spans="2:15" ht="20.25" customHeight="1">
      <c r="B69" s="159"/>
      <c r="C69" s="159"/>
      <c r="D69" s="159"/>
      <c r="E69" s="159"/>
      <c r="F69" s="159"/>
    </row>
    <row r="70" spans="2:15" ht="20.25" customHeight="1">
      <c r="C70" s="36"/>
    </row>
    <row r="71" spans="2:15" s="31" customFormat="1" ht="20.25" customHeight="1">
      <c r="B71" s="173" t="s">
        <v>143</v>
      </c>
    </row>
    <row r="72" spans="2:15" ht="20.25" customHeight="1">
      <c r="B72" s="9"/>
    </row>
    <row r="73" spans="2:15" ht="20.25" customHeight="1">
      <c r="B73" s="9"/>
      <c r="F73" s="251" t="s">
        <v>118</v>
      </c>
      <c r="G73" s="254"/>
      <c r="H73" s="252"/>
      <c r="J73" s="248" t="s">
        <v>95</v>
      </c>
      <c r="K73" s="249"/>
      <c r="L73"/>
      <c r="M73"/>
      <c r="N73"/>
      <c r="O73"/>
    </row>
    <row r="74" spans="2:15" ht="20.25" customHeight="1">
      <c r="B74" s="251" t="s">
        <v>119</v>
      </c>
      <c r="C74" s="252"/>
      <c r="D74" s="34" t="s">
        <v>120</v>
      </c>
      <c r="F74" s="5" t="s">
        <v>122</v>
      </c>
      <c r="G74" s="5" t="s">
        <v>1</v>
      </c>
      <c r="H74" s="5" t="s">
        <v>121</v>
      </c>
      <c r="J74" s="38" t="s">
        <v>82</v>
      </c>
      <c r="K74" s="39">
        <v>0.1</v>
      </c>
      <c r="L74"/>
      <c r="M74"/>
      <c r="N74"/>
      <c r="O74"/>
    </row>
    <row r="75" spans="2:15" ht="20.25" customHeight="1">
      <c r="B75" s="24" t="s">
        <v>87</v>
      </c>
      <c r="C75" s="29" t="s">
        <v>123</v>
      </c>
      <c r="D75" s="33">
        <v>-150000</v>
      </c>
      <c r="F75" s="33">
        <v>-1000000</v>
      </c>
      <c r="G75" s="33">
        <v>-150000</v>
      </c>
      <c r="H75" s="33">
        <v>-94900</v>
      </c>
      <c r="I75" s="13"/>
      <c r="J75" s="58" t="s">
        <v>11</v>
      </c>
      <c r="K75" s="59">
        <v>3</v>
      </c>
      <c r="L75"/>
      <c r="M75"/>
      <c r="N75"/>
      <c r="O75"/>
    </row>
    <row r="76" spans="2:15" ht="20.25" customHeight="1">
      <c r="B76" s="24" t="s">
        <v>111</v>
      </c>
      <c r="C76" s="29" t="s">
        <v>124</v>
      </c>
      <c r="D76" s="33">
        <v>37500</v>
      </c>
      <c r="F76" s="33">
        <v>0</v>
      </c>
      <c r="G76" s="33">
        <v>37500</v>
      </c>
      <c r="H76" s="33">
        <v>47450</v>
      </c>
      <c r="I76" s="13"/>
      <c r="J76" s="16" t="s">
        <v>16</v>
      </c>
      <c r="K76" s="60">
        <v>0.17</v>
      </c>
      <c r="L76"/>
      <c r="M76"/>
      <c r="N76"/>
      <c r="O76"/>
    </row>
    <row r="77" spans="2:15" ht="20.25" customHeight="1">
      <c r="B77" s="24" t="s">
        <v>88</v>
      </c>
      <c r="C77" s="29" t="s">
        <v>125</v>
      </c>
      <c r="D77" s="15">
        <v>53076.832499999997</v>
      </c>
      <c r="F77" s="33">
        <v>0</v>
      </c>
      <c r="G77" s="33">
        <v>53076.832499999997</v>
      </c>
      <c r="H77" s="33">
        <v>180000</v>
      </c>
      <c r="I77" s="13"/>
      <c r="J77" s="14" t="s">
        <v>85</v>
      </c>
      <c r="K77" s="62" t="s">
        <v>86</v>
      </c>
      <c r="L77"/>
      <c r="M77"/>
      <c r="N77"/>
      <c r="O77"/>
    </row>
    <row r="78" spans="2:15" ht="20.25" customHeight="1">
      <c r="B78" s="24" t="s">
        <v>114</v>
      </c>
      <c r="C78" s="29" t="s">
        <v>126</v>
      </c>
      <c r="D78" s="33">
        <v>-250694.01899999997</v>
      </c>
      <c r="F78" s="33">
        <v>-271309.18199999997</v>
      </c>
      <c r="G78" s="33">
        <v>-250694.01899999997</v>
      </c>
      <c r="H78" s="33">
        <v>-230078.85599999997</v>
      </c>
      <c r="I78" s="13"/>
      <c r="J78"/>
      <c r="K78"/>
      <c r="L78"/>
      <c r="M78"/>
      <c r="N78"/>
      <c r="O78"/>
    </row>
    <row r="79" spans="2:15" ht="20.25" customHeight="1">
      <c r="B79" s="24" t="s">
        <v>112</v>
      </c>
      <c r="C79" s="29" t="s">
        <v>127</v>
      </c>
      <c r="D79" s="15">
        <v>-13140</v>
      </c>
      <c r="F79" s="130">
        <v>-11680</v>
      </c>
      <c r="G79" s="33">
        <v>-13140</v>
      </c>
      <c r="H79" s="33">
        <v>-14600</v>
      </c>
      <c r="J79"/>
      <c r="K79"/>
      <c r="L79"/>
      <c r="M79"/>
      <c r="N79"/>
      <c r="O79"/>
    </row>
    <row r="80" spans="2:15" ht="20.25" customHeight="1">
      <c r="B80" s="24" t="s">
        <v>109</v>
      </c>
      <c r="C80" s="29" t="s">
        <v>128</v>
      </c>
      <c r="D80" s="33">
        <v>-5307.68</v>
      </c>
      <c r="F80" s="33">
        <v>0</v>
      </c>
      <c r="G80" s="96">
        <v>-3230.7330000000002</v>
      </c>
      <c r="H80" s="33">
        <v>-5307.68325</v>
      </c>
      <c r="J80"/>
      <c r="K80"/>
      <c r="L80"/>
      <c r="M80"/>
      <c r="N80"/>
      <c r="O80"/>
    </row>
    <row r="81" spans="2:15" ht="20.25" customHeight="1">
      <c r="B81" s="24" t="s">
        <v>94</v>
      </c>
      <c r="C81" s="29" t="s">
        <v>127</v>
      </c>
      <c r="D81" s="15">
        <v>75000</v>
      </c>
      <c r="F81" s="182">
        <v>56940</v>
      </c>
      <c r="G81" s="33">
        <v>75000</v>
      </c>
      <c r="H81" s="33">
        <v>400000</v>
      </c>
      <c r="J81"/>
      <c r="K81"/>
      <c r="L81"/>
      <c r="M81"/>
      <c r="N81"/>
      <c r="O81"/>
    </row>
    <row r="82" spans="2:15" ht="20.25" customHeight="1">
      <c r="B82" s="24" t="s">
        <v>39</v>
      </c>
      <c r="C82" s="29" t="s">
        <v>129</v>
      </c>
      <c r="D82" s="24">
        <v>4</v>
      </c>
      <c r="F82" s="24">
        <v>3</v>
      </c>
      <c r="G82" s="24">
        <v>4</v>
      </c>
      <c r="H82" s="24">
        <v>5</v>
      </c>
      <c r="J82"/>
      <c r="K82"/>
      <c r="L82"/>
      <c r="M82"/>
      <c r="N82"/>
      <c r="O82"/>
    </row>
    <row r="83" spans="2:15" ht="20.25" customHeight="1">
      <c r="I83" s="13"/>
      <c r="J83"/>
      <c r="K83"/>
      <c r="L83"/>
      <c r="M83"/>
      <c r="N83"/>
      <c r="O83"/>
    </row>
    <row r="84" spans="2:15" ht="20.25" customHeight="1">
      <c r="B84" s="24" t="s">
        <v>58</v>
      </c>
      <c r="C84" s="15">
        <v>-495853.69396256562</v>
      </c>
      <c r="G84" s="13"/>
      <c r="H84" s="13"/>
      <c r="J84"/>
      <c r="K84"/>
      <c r="L84"/>
      <c r="M84"/>
      <c r="N84"/>
      <c r="O84"/>
    </row>
    <row r="85" spans="2:15" ht="20.25" customHeight="1">
      <c r="B85" s="24" t="s">
        <v>130</v>
      </c>
      <c r="C85" s="15">
        <v>-199390.11077467524</v>
      </c>
      <c r="J85"/>
      <c r="K85"/>
      <c r="L85"/>
      <c r="M85"/>
      <c r="N85"/>
      <c r="O85"/>
    </row>
    <row r="86" spans="2:15" ht="20.25" customHeight="1">
      <c r="C86" s="30"/>
      <c r="J86"/>
      <c r="K86"/>
      <c r="L86"/>
      <c r="M86"/>
      <c r="N86"/>
      <c r="O86"/>
    </row>
    <row r="87" spans="2:15" ht="20.25" customHeight="1" thickBot="1">
      <c r="C87" s="37"/>
      <c r="J87"/>
      <c r="K87"/>
      <c r="L87"/>
      <c r="M87"/>
      <c r="N87"/>
      <c r="O87"/>
    </row>
    <row r="88" spans="2:15" ht="20.25" customHeight="1" thickBot="1">
      <c r="B88" s="84" t="s">
        <v>142</v>
      </c>
      <c r="C88" s="85">
        <v>0</v>
      </c>
      <c r="D88" s="85">
        <v>1</v>
      </c>
      <c r="E88" s="85">
        <v>2</v>
      </c>
      <c r="F88" s="86">
        <v>3</v>
      </c>
      <c r="H88"/>
      <c r="J88"/>
      <c r="K88"/>
      <c r="L88"/>
      <c r="M88"/>
      <c r="N88"/>
      <c r="O88"/>
    </row>
    <row r="89" spans="2:15" ht="20.25" customHeight="1">
      <c r="B89" s="87" t="s">
        <v>48</v>
      </c>
      <c r="C89" s="182"/>
      <c r="D89" s="182"/>
      <c r="E89" s="182"/>
      <c r="F89" s="183"/>
      <c r="H89"/>
      <c r="J89"/>
      <c r="K89"/>
      <c r="L89"/>
      <c r="M89"/>
      <c r="N89"/>
      <c r="O89"/>
    </row>
    <row r="90" spans="2:15" ht="20.25" customHeight="1">
      <c r="B90" s="88" t="s">
        <v>132</v>
      </c>
      <c r="C90" s="184">
        <f>D75+D76</f>
        <v>-112500</v>
      </c>
      <c r="D90" s="184"/>
      <c r="E90" s="184"/>
      <c r="F90" s="185">
        <f>D81</f>
        <v>75000</v>
      </c>
      <c r="H90"/>
    </row>
    <row r="91" spans="2:15" ht="20.25" customHeight="1">
      <c r="B91" s="217" t="s">
        <v>88</v>
      </c>
      <c r="C91" s="33"/>
      <c r="D91" s="33">
        <f>D77</f>
        <v>53076.832499999997</v>
      </c>
      <c r="E91" s="33">
        <f>D77</f>
        <v>53076.832499999997</v>
      </c>
      <c r="F91" s="186">
        <f>D77</f>
        <v>53076.832499999997</v>
      </c>
      <c r="H91"/>
    </row>
    <row r="92" spans="2:15" ht="20.25" customHeight="1">
      <c r="B92" s="217" t="s">
        <v>133</v>
      </c>
      <c r="C92" s="33"/>
      <c r="D92" s="33">
        <v>-250694.019</v>
      </c>
      <c r="E92" s="33">
        <v>-250694.019</v>
      </c>
      <c r="F92" s="186">
        <v>-250694.019</v>
      </c>
      <c r="H92"/>
    </row>
    <row r="93" spans="2:15" ht="20.25" customHeight="1">
      <c r="B93" s="217" t="s">
        <v>134</v>
      </c>
      <c r="C93" s="33"/>
      <c r="D93" s="33">
        <f>D79</f>
        <v>-13140</v>
      </c>
      <c r="E93" s="33">
        <f>D79</f>
        <v>-13140</v>
      </c>
      <c r="F93" s="186">
        <f>D79</f>
        <v>-13140</v>
      </c>
      <c r="H93"/>
    </row>
    <row r="94" spans="2:15" ht="20.25" customHeight="1">
      <c r="B94" s="217" t="s">
        <v>135</v>
      </c>
      <c r="C94" s="33"/>
      <c r="D94" s="33">
        <f>D80</f>
        <v>-5307.68</v>
      </c>
      <c r="E94" s="33">
        <f>D80</f>
        <v>-5307.68</v>
      </c>
      <c r="F94" s="186">
        <f>D80</f>
        <v>-5307.68</v>
      </c>
      <c r="H94"/>
    </row>
    <row r="95" spans="2:15" ht="20.25" customHeight="1" thickBot="1">
      <c r="B95" s="89" t="s">
        <v>136</v>
      </c>
      <c r="C95" s="215"/>
      <c r="D95" s="215">
        <f>SUM(D91:D94)</f>
        <v>-216064.8665</v>
      </c>
      <c r="E95" s="215">
        <f>SUM(E91:E94)</f>
        <v>-216064.8665</v>
      </c>
      <c r="F95" s="216">
        <f>SUM(F90:F94)</f>
        <v>-141064.8665</v>
      </c>
      <c r="H95"/>
    </row>
    <row r="96" spans="2:15" ht="20.25" customHeight="1" thickBot="1">
      <c r="B96" s="82" t="s">
        <v>49</v>
      </c>
      <c r="C96" s="187"/>
      <c r="D96" s="187">
        <f>$G$76</f>
        <v>37500</v>
      </c>
      <c r="E96" s="187">
        <f>$G$76</f>
        <v>37500</v>
      </c>
      <c r="F96" s="188">
        <f>$G$76</f>
        <v>37500</v>
      </c>
      <c r="H96"/>
    </row>
    <row r="97" spans="2:8" ht="20.25" customHeight="1" thickBot="1">
      <c r="B97" s="83" t="s">
        <v>50</v>
      </c>
      <c r="C97" s="189"/>
      <c r="D97" s="189">
        <f>D95-D96</f>
        <v>-253564.8665</v>
      </c>
      <c r="E97" s="189">
        <f>E95-E96</f>
        <v>-253564.8665</v>
      </c>
      <c r="F97" s="190">
        <f>F95-F96</f>
        <v>-178564.8665</v>
      </c>
    </row>
    <row r="98" spans="2:8" ht="20.25" customHeight="1" thickBot="1">
      <c r="B98" s="82" t="s">
        <v>137</v>
      </c>
      <c r="C98" s="187"/>
      <c r="D98" s="187">
        <f>D97*-$K$88</f>
        <v>0</v>
      </c>
      <c r="E98" s="187">
        <f>E97*-$K$88</f>
        <v>0</v>
      </c>
      <c r="F98" s="188">
        <f>F97*-$K$88</f>
        <v>0</v>
      </c>
      <c r="H98" s="63"/>
    </row>
    <row r="99" spans="2:8" ht="20.25" customHeight="1" thickBot="1">
      <c r="B99" s="90" t="s">
        <v>52</v>
      </c>
      <c r="C99" s="191">
        <f>C90</f>
        <v>-112500</v>
      </c>
      <c r="D99" s="191">
        <f>D95+D98</f>
        <v>-216064.8665</v>
      </c>
      <c r="E99" s="191">
        <f>E95+E98</f>
        <v>-216064.8665</v>
      </c>
      <c r="F99" s="192">
        <f>F95+F98</f>
        <v>-141064.8665</v>
      </c>
    </row>
    <row r="101" spans="2:8" ht="20.25" customHeight="1">
      <c r="B101" s="43" t="s">
        <v>138</v>
      </c>
      <c r="C101" s="122">
        <f>C99</f>
        <v>-112500</v>
      </c>
      <c r="D101" s="122">
        <f>D99</f>
        <v>-216064.8665</v>
      </c>
      <c r="E101" s="122">
        <f>E99</f>
        <v>-216064.8665</v>
      </c>
      <c r="F101" s="122">
        <f>F99</f>
        <v>-141064.8665</v>
      </c>
    </row>
    <row r="102" spans="2:8" ht="20.25" customHeight="1">
      <c r="B102" s="81" t="s">
        <v>110</v>
      </c>
      <c r="C102" s="122">
        <f>C99+NPV(K5,D99:F99)</f>
        <v>-593472.73336964683</v>
      </c>
      <c r="D102" s="122" t="str">
        <f>IF(C102 &gt;=0, "Feasible", "Infeasible")</f>
        <v>Infeasible</v>
      </c>
      <c r="E102" s="122"/>
      <c r="F102" s="122"/>
    </row>
    <row r="103" spans="2:8" ht="20.25" customHeight="1">
      <c r="B103" s="81" t="s">
        <v>140</v>
      </c>
      <c r="C103" s="122"/>
      <c r="D103" s="122" t="str">
        <f>IF(C103&gt;=D77, "Feasible", "Infeasible")</f>
        <v>Infeasible</v>
      </c>
      <c r="E103" s="122"/>
      <c r="F103" s="122"/>
    </row>
  </sheetData>
  <mergeCells count="9">
    <mergeCell ref="J4:K4"/>
    <mergeCell ref="J38:K38"/>
    <mergeCell ref="J73:K73"/>
    <mergeCell ref="B74:C74"/>
    <mergeCell ref="B39:C39"/>
    <mergeCell ref="B5:C5"/>
    <mergeCell ref="F73:H73"/>
    <mergeCell ref="F4:H4"/>
    <mergeCell ref="F38:H38"/>
  </mergeCells>
  <conditionalFormatting sqref="G82:H82">
    <cfRule type="cellIs" dxfId="0" priority="29" operator="less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18800-8E60-42F9-9757-0EDAAAB8CF35}">
  <dimension ref="A1:AS20"/>
  <sheetViews>
    <sheetView zoomScale="98" workbookViewId="0">
      <selection activeCell="I16" sqref="I16"/>
    </sheetView>
  </sheetViews>
  <sheetFormatPr defaultColWidth="9" defaultRowHeight="15"/>
  <cols>
    <col min="1" max="1" width="9" style="13"/>
    <col min="2" max="2" width="19.42578125" style="13" bestFit="1" customWidth="1"/>
    <col min="3" max="3" width="15" style="13" customWidth="1"/>
    <col min="4" max="4" width="15.140625" style="13" customWidth="1"/>
    <col min="5" max="5" width="9" style="13"/>
    <col min="6" max="6" width="11.42578125" style="13" customWidth="1"/>
    <col min="7" max="7" width="3.7109375" style="229" customWidth="1"/>
    <col min="8" max="8" width="9.140625" style="13" bestFit="1" customWidth="1"/>
    <col min="9" max="9" width="19.42578125" style="13" bestFit="1" customWidth="1"/>
    <col min="10" max="10" width="14.5703125" style="13" customWidth="1"/>
    <col min="11" max="11" width="14" style="13" customWidth="1"/>
    <col min="12" max="12" width="9" style="13"/>
    <col min="13" max="13" width="19.5703125" style="13" customWidth="1"/>
    <col min="14" max="14" width="4.140625" style="229" customWidth="1"/>
    <col min="15" max="15" width="9" style="13"/>
    <col min="16" max="16" width="19.42578125" style="13" bestFit="1" customWidth="1"/>
    <col min="17" max="17" width="14.5703125" style="13" customWidth="1"/>
    <col min="18" max="18" width="15" style="13" customWidth="1"/>
    <col min="19" max="20" width="9" style="13"/>
    <col min="21" max="21" width="4.140625" style="229" customWidth="1"/>
    <col min="22" max="22" width="9" style="13"/>
    <col min="23" max="23" width="17.42578125" style="13" customWidth="1"/>
    <col min="24" max="24" width="14.28515625" style="13" customWidth="1"/>
    <col min="25" max="25" width="15" style="13" customWidth="1"/>
    <col min="26" max="27" width="9" style="13"/>
    <col min="28" max="28" width="4.140625" style="229" customWidth="1"/>
    <col min="29" max="29" width="9" style="13"/>
    <col min="30" max="30" width="18.28515625" style="13" customWidth="1"/>
    <col min="31" max="31" width="14.85546875" style="13" customWidth="1"/>
    <col min="32" max="32" width="14" style="13" customWidth="1"/>
    <col min="33" max="33" width="9" style="13"/>
    <col min="34" max="34" width="15" style="13" customWidth="1"/>
    <col min="35" max="35" width="6" style="13" customWidth="1"/>
    <col min="36" max="36" width="4.28515625" style="229" customWidth="1"/>
    <col min="37" max="37" width="4.28515625" style="13" customWidth="1"/>
    <col min="38" max="38" width="18.42578125" style="13" customWidth="1"/>
    <col min="39" max="39" width="14.5703125" style="13" customWidth="1"/>
    <col min="40" max="40" width="14.7109375" style="13" customWidth="1"/>
    <col min="41" max="42" width="9" style="13"/>
    <col min="43" max="43" width="12.42578125" style="13" customWidth="1"/>
    <col min="44" max="44" width="15.42578125" style="229" customWidth="1"/>
    <col min="45" max="45" width="15" style="229" customWidth="1"/>
    <col min="46" max="16384" width="9" style="229"/>
  </cols>
  <sheetData>
    <row r="1" spans="1:45" s="227" customFormat="1" ht="34.5" customHeight="1">
      <c r="A1" s="226"/>
      <c r="B1" s="258" t="s">
        <v>144</v>
      </c>
      <c r="C1" s="258"/>
      <c r="D1" s="258"/>
      <c r="E1" s="258"/>
      <c r="F1" s="226"/>
      <c r="H1" s="226"/>
      <c r="I1" s="258" t="s">
        <v>144</v>
      </c>
      <c r="J1" s="258"/>
      <c r="K1" s="258"/>
      <c r="L1" s="258"/>
      <c r="M1" s="226"/>
      <c r="O1" s="226"/>
      <c r="P1" s="258" t="s">
        <v>144</v>
      </c>
      <c r="Q1" s="258"/>
      <c r="R1" s="258"/>
      <c r="S1" s="258"/>
      <c r="T1" s="226"/>
      <c r="V1" s="228"/>
      <c r="W1" s="255" t="s">
        <v>113</v>
      </c>
      <c r="X1" s="255"/>
      <c r="Y1" s="255"/>
      <c r="Z1" s="255"/>
      <c r="AA1" s="232"/>
      <c r="AB1" s="231"/>
      <c r="AC1" s="228"/>
      <c r="AD1" s="255" t="s">
        <v>113</v>
      </c>
      <c r="AE1" s="255"/>
      <c r="AF1" s="255"/>
      <c r="AG1" s="255"/>
      <c r="AH1" s="228"/>
      <c r="AI1" s="228"/>
      <c r="AK1" s="228"/>
      <c r="AL1" s="228"/>
      <c r="AM1" s="255" t="s">
        <v>113</v>
      </c>
      <c r="AN1" s="255"/>
      <c r="AO1" s="255"/>
      <c r="AP1" s="255"/>
      <c r="AQ1" s="228"/>
    </row>
    <row r="2" spans="1:45" s="235" customFormat="1" ht="15.75">
      <c r="A2" s="257" t="s">
        <v>145</v>
      </c>
      <c r="B2" s="257"/>
      <c r="C2" s="257"/>
      <c r="D2" s="257"/>
      <c r="E2" s="257"/>
      <c r="F2" s="257"/>
      <c r="H2" s="257" t="s">
        <v>146</v>
      </c>
      <c r="I2" s="257"/>
      <c r="J2" s="257"/>
      <c r="K2" s="257"/>
      <c r="L2" s="257"/>
      <c r="M2" s="257"/>
      <c r="O2" s="257" t="s">
        <v>147</v>
      </c>
      <c r="P2" s="257"/>
      <c r="Q2" s="257"/>
      <c r="R2" s="257"/>
      <c r="S2" s="257"/>
      <c r="T2" s="257"/>
      <c r="V2" s="256" t="s">
        <v>145</v>
      </c>
      <c r="W2" s="256"/>
      <c r="X2" s="256"/>
      <c r="Y2" s="256"/>
      <c r="Z2" s="256"/>
      <c r="AA2" s="256"/>
      <c r="AB2" s="237"/>
      <c r="AC2" s="256" t="s">
        <v>146</v>
      </c>
      <c r="AD2" s="256"/>
      <c r="AE2" s="256"/>
      <c r="AF2" s="256"/>
      <c r="AG2" s="256"/>
      <c r="AH2" s="256"/>
      <c r="AI2" s="256"/>
      <c r="AJ2" s="237"/>
      <c r="AK2" s="236"/>
      <c r="AL2" s="256" t="s">
        <v>147</v>
      </c>
      <c r="AM2" s="256"/>
      <c r="AN2" s="256"/>
      <c r="AO2" s="256"/>
      <c r="AP2" s="256"/>
      <c r="AQ2" s="256"/>
    </row>
    <row r="3" spans="1:45" ht="15.75" thickBot="1">
      <c r="B3" s="6"/>
      <c r="C3" s="6"/>
      <c r="D3" s="6"/>
      <c r="E3" s="6"/>
      <c r="I3" s="6"/>
      <c r="J3" s="6"/>
      <c r="K3" s="6"/>
      <c r="L3" s="6"/>
      <c r="P3" s="6"/>
      <c r="Q3" s="6"/>
      <c r="R3" s="6"/>
      <c r="S3" s="6"/>
    </row>
    <row r="4" spans="1:45" ht="15.75" thickBot="1">
      <c r="B4" s="233">
        <v>-5466</v>
      </c>
      <c r="I4" s="233">
        <v>-150000</v>
      </c>
      <c r="P4" s="233">
        <v>-150000</v>
      </c>
      <c r="W4" s="233">
        <v>1061536.6499999999</v>
      </c>
      <c r="AD4" s="233">
        <v>1061536.6499999999</v>
      </c>
      <c r="AL4" s="233">
        <v>1061536.6499999999</v>
      </c>
    </row>
    <row r="6" spans="1:45">
      <c r="B6" s="24" t="s">
        <v>148</v>
      </c>
      <c r="C6" s="24" t="s">
        <v>149</v>
      </c>
      <c r="D6" s="24" t="s">
        <v>150</v>
      </c>
      <c r="I6" s="24" t="s">
        <v>151</v>
      </c>
      <c r="J6" s="24" t="s">
        <v>152</v>
      </c>
      <c r="K6" s="24" t="s">
        <v>149</v>
      </c>
      <c r="P6" s="24" t="s">
        <v>151</v>
      </c>
      <c r="Q6" s="24" t="s">
        <v>152</v>
      </c>
      <c r="R6" s="24" t="s">
        <v>150</v>
      </c>
      <c r="W6" s="24" t="s">
        <v>153</v>
      </c>
      <c r="X6" s="24" t="s">
        <v>149</v>
      </c>
      <c r="Y6" s="24" t="s">
        <v>150</v>
      </c>
      <c r="AD6" s="24" t="s">
        <v>154</v>
      </c>
      <c r="AE6" s="24" t="s">
        <v>152</v>
      </c>
      <c r="AF6" s="24" t="s">
        <v>149</v>
      </c>
      <c r="AL6" s="24" t="s">
        <v>154</v>
      </c>
      <c r="AM6" s="24" t="s">
        <v>152</v>
      </c>
      <c r="AN6" s="24" t="s">
        <v>150</v>
      </c>
    </row>
    <row r="7" spans="1:45">
      <c r="B7" s="2">
        <v>-5466</v>
      </c>
      <c r="C7" s="2">
        <f>'Alt 1 - Conventional System'!H38</f>
        <v>93556.207648792813</v>
      </c>
      <c r="D7" s="2">
        <f>'Alt 2 - Self-checkout System'!$H$36</f>
        <v>117009.82612146874</v>
      </c>
      <c r="I7" s="2">
        <v>-150000</v>
      </c>
      <c r="J7" s="2">
        <f>'Alt 3 - Checkout-free System'!H47</f>
        <v>-495853.69396256562</v>
      </c>
      <c r="K7" s="2">
        <f>'Alt 1 - Conventional System'!$H$38</f>
        <v>93556.207648792813</v>
      </c>
      <c r="P7" s="2">
        <v>-150000</v>
      </c>
      <c r="Q7" s="2">
        <f>'Alt 3 - Checkout-free System'!H47</f>
        <v>-495853.69396256562</v>
      </c>
      <c r="R7" s="2">
        <f>'Alt 2 - Self-checkout System'!$H$36</f>
        <v>117009.82612146874</v>
      </c>
      <c r="W7" s="2">
        <v>1061536.6499999999</v>
      </c>
      <c r="X7" s="2">
        <f>'Alt 1 - Conventional System'!H38</f>
        <v>93556.207648792813</v>
      </c>
      <c r="Y7" s="2">
        <f>'Alt 2 - Self-checkout System'!$H$36</f>
        <v>117009.82612146874</v>
      </c>
      <c r="AD7" s="2">
        <v>1061536.6499999999</v>
      </c>
      <c r="AE7" s="2">
        <f>'Alt 3 - Checkout-free System'!H47</f>
        <v>-495853.69396256562</v>
      </c>
      <c r="AF7" s="2">
        <f>'Alt 1 - Conventional System'!$H$38</f>
        <v>93556.207648792813</v>
      </c>
      <c r="AL7" s="18">
        <v>1061536.6499999999</v>
      </c>
      <c r="AM7" s="18">
        <f>'Alt 3 - Checkout-free System'!H47</f>
        <v>-495853.69396256562</v>
      </c>
      <c r="AN7" s="18">
        <f>'Alt 2 - Self-checkout System'!$H$36</f>
        <v>117009.82612146874</v>
      </c>
    </row>
    <row r="8" spans="1:45">
      <c r="B8" s="2">
        <f>B7+10000</f>
        <v>4534</v>
      </c>
      <c r="C8" s="2">
        <f t="dataTable" ref="C8:C16" dt2D="0" dtr="0" r1="B4" ca="1"/>
        <v>97504.930413631271</v>
      </c>
      <c r="D8" s="2">
        <f>'Alt 2 - Self-checkout System'!$H$36</f>
        <v>117009.82612146874</v>
      </c>
      <c r="I8" s="2">
        <f>I7+100000</f>
        <v>-50000</v>
      </c>
      <c r="J8" s="2">
        <f t="dataTable" ref="J8:J13" dt2D="0" dtr="0" r1="I4"/>
        <v>-495853.69396256562</v>
      </c>
      <c r="K8" s="2">
        <f>'Alt 1 - Conventional System'!$H$38</f>
        <v>93556.207648792813</v>
      </c>
      <c r="P8" s="2">
        <f>P7+100000</f>
        <v>-50000</v>
      </c>
      <c r="Q8" s="2">
        <f t="dataTable" ref="Q8:Q13" dt2D="0" dtr="0" r1="P4"/>
        <v>-462602.37916166411</v>
      </c>
      <c r="R8" s="2">
        <f>'Alt 2 - Self-checkout System'!$H$36</f>
        <v>117009.82612146874</v>
      </c>
      <c r="W8" s="2">
        <f>W7+20000</f>
        <v>1081536.6499999999</v>
      </c>
      <c r="X8" s="2">
        <f t="dataTable" ref="X8:X16" dt2D="0" dtr="0" r1="W4"/>
        <v>97058.963546614017</v>
      </c>
      <c r="Y8" s="2">
        <f>'Alt 2 - Self-checkout System'!$H$36</f>
        <v>117009.82612146874</v>
      </c>
      <c r="AD8" s="2">
        <f>AD7+600000</f>
        <v>1661536.65</v>
      </c>
      <c r="AE8" s="2">
        <f t="dataTable" ref="AE8:AE20" dt2D="0" dtr="0" r1="AD4"/>
        <v>-495853.69396256562</v>
      </c>
      <c r="AF8" s="2">
        <f>'Alt 1 - Conventional System'!$H$38</f>
        <v>93556.207648792813</v>
      </c>
      <c r="AL8" s="18">
        <f t="shared" ref="AL8:AL13" si="0">AL7+1500000</f>
        <v>2561536.65</v>
      </c>
      <c r="AM8" s="18">
        <v>-341047.15</v>
      </c>
      <c r="AN8" s="18">
        <f>'Alt 2 - Self-checkout System'!$H$36</f>
        <v>117009.82612146874</v>
      </c>
    </row>
    <row r="9" spans="1:45">
      <c r="B9" s="2">
        <f t="shared" ref="B9:B16" si="1">B8+10000</f>
        <v>14534</v>
      </c>
      <c r="C9" s="2">
        <v>101453.65317846974</v>
      </c>
      <c r="D9" s="2">
        <f>'Alt 2 - Self-checkout System'!$H$36</f>
        <v>117009.82612146874</v>
      </c>
      <c r="I9" s="2">
        <f t="shared" ref="I9:I13" si="2">I8+100000</f>
        <v>50000</v>
      </c>
      <c r="J9" s="2">
        <v>-495853.69396256562</v>
      </c>
      <c r="K9" s="2">
        <f>'Alt 1 - Conventional System'!$H$38</f>
        <v>93556.207648792813</v>
      </c>
      <c r="P9" s="2">
        <f t="shared" ref="P9:P13" si="3">P8+100000</f>
        <v>50000</v>
      </c>
      <c r="Q9" s="2">
        <v>-429351.06436076254</v>
      </c>
      <c r="R9" s="2">
        <f>'Alt 2 - Self-checkout System'!$H$36</f>
        <v>117009.82612146874</v>
      </c>
      <c r="W9" s="2">
        <f>W8+20000</f>
        <v>1101536.6499999999</v>
      </c>
      <c r="X9" s="2">
        <v>100561.71944443518</v>
      </c>
      <c r="Y9" s="2">
        <f>'Alt 2 - Self-checkout System'!$H$36</f>
        <v>117009.82612146874</v>
      </c>
      <c r="AD9" s="2">
        <f t="shared" ref="AD9:AD20" si="4">AD8+600000</f>
        <v>2261536.65</v>
      </c>
      <c r="AE9" s="2">
        <v>-495853.69396256562</v>
      </c>
      <c r="AF9" s="2">
        <f>'Alt 1 - Conventional System'!$H$38</f>
        <v>93556.207648792813</v>
      </c>
      <c r="AL9" s="18">
        <f t="shared" si="0"/>
        <v>4061536.65</v>
      </c>
      <c r="AM9" s="18">
        <v>-186240.61629999999</v>
      </c>
      <c r="AN9" s="18">
        <f>'Alt 2 - Self-checkout System'!$H$36</f>
        <v>117009.82612146874</v>
      </c>
    </row>
    <row r="10" spans="1:45">
      <c r="B10" s="2">
        <f t="shared" si="1"/>
        <v>24534</v>
      </c>
      <c r="C10" s="2">
        <v>105402.3759433082</v>
      </c>
      <c r="D10" s="2">
        <f>'Alt 2 - Self-checkout System'!$H$36</f>
        <v>117009.82612146874</v>
      </c>
      <c r="I10" s="2">
        <f t="shared" si="2"/>
        <v>150000</v>
      </c>
      <c r="J10" s="2">
        <v>-495853.69396256562</v>
      </c>
      <c r="K10" s="2">
        <f>'Alt 1 - Conventional System'!$H$38</f>
        <v>93556.207648792813</v>
      </c>
      <c r="P10" s="2">
        <f t="shared" si="3"/>
        <v>150000</v>
      </c>
      <c r="Q10" s="2">
        <v>-396099.74955986085</v>
      </c>
      <c r="R10" s="2">
        <f>'Alt 2 - Self-checkout System'!$H$36</f>
        <v>117009.82612146874</v>
      </c>
      <c r="W10" s="2">
        <f>W9+20000</f>
        <v>1121536.6499999999</v>
      </c>
      <c r="X10" s="2">
        <v>104064.47534225637</v>
      </c>
      <c r="Y10" s="2">
        <f>'Alt 2 - Self-checkout System'!$H$36</f>
        <v>117009.82612146874</v>
      </c>
      <c r="AD10" s="2">
        <f t="shared" si="4"/>
        <v>2861536.65</v>
      </c>
      <c r="AE10" s="2">
        <v>-495853.69396256562</v>
      </c>
      <c r="AF10" s="2">
        <f>'Alt 1 - Conventional System'!$H$38</f>
        <v>93556.207648792813</v>
      </c>
      <c r="AL10" s="18">
        <f t="shared" si="0"/>
        <v>5561536.6500000004</v>
      </c>
      <c r="AM10" s="18">
        <v>-31434.23</v>
      </c>
      <c r="AN10" s="18">
        <f>'Alt 2 - Self-checkout System'!$H$36</f>
        <v>117009.82612146874</v>
      </c>
    </row>
    <row r="11" spans="1:45">
      <c r="B11" s="2">
        <f t="shared" si="1"/>
        <v>34534</v>
      </c>
      <c r="C11" s="2">
        <v>109351.09870814669</v>
      </c>
      <c r="D11" s="2">
        <f>'Alt 2 - Self-checkout System'!$H$36</f>
        <v>117009.82612146874</v>
      </c>
      <c r="I11" s="2">
        <f t="shared" si="2"/>
        <v>250000</v>
      </c>
      <c r="J11" s="2">
        <v>-495853.69396256562</v>
      </c>
      <c r="K11" s="2">
        <f>'Alt 1 - Conventional System'!$H$38</f>
        <v>93556.207648792813</v>
      </c>
      <c r="P11" s="2">
        <f t="shared" si="3"/>
        <v>250000</v>
      </c>
      <c r="Q11" s="2">
        <v>-362848.43475895928</v>
      </c>
      <c r="R11" s="2">
        <f>'Alt 2 - Self-checkout System'!$H$36</f>
        <v>117009.82612146874</v>
      </c>
      <c r="W11" s="2">
        <f>W10+20000</f>
        <v>1141536.6499999999</v>
      </c>
      <c r="X11" s="2">
        <v>107567.23124007756</v>
      </c>
      <c r="Y11" s="2">
        <f>'Alt 2 - Self-checkout System'!$H$36</f>
        <v>117009.82612146874</v>
      </c>
      <c r="AD11" s="2">
        <f t="shared" si="4"/>
        <v>3461536.65</v>
      </c>
      <c r="AE11" s="2">
        <v>-495853.69396256562</v>
      </c>
      <c r="AF11" s="2">
        <f>'Alt 1 - Conventional System'!$H$38</f>
        <v>93556.207648792813</v>
      </c>
      <c r="AL11" s="18">
        <f t="shared" si="0"/>
        <v>7061536.6500000004</v>
      </c>
      <c r="AM11" s="18">
        <v>123372.46</v>
      </c>
      <c r="AN11" s="18">
        <f>'Alt 2 - Self-checkout System'!$H$36</f>
        <v>117009.82612146874</v>
      </c>
    </row>
    <row r="12" spans="1:45">
      <c r="B12" s="2">
        <f t="shared" si="1"/>
        <v>44534</v>
      </c>
      <c r="C12" s="2">
        <v>113299.82147298515</v>
      </c>
      <c r="D12" s="2">
        <f>'Alt 2 - Self-checkout System'!$H$36</f>
        <v>117009.82612146874</v>
      </c>
      <c r="I12" s="2">
        <f t="shared" si="2"/>
        <v>350000</v>
      </c>
      <c r="J12" s="2">
        <v>-495853.69396256562</v>
      </c>
      <c r="K12" s="2">
        <f>'Alt 1 - Conventional System'!$H$38</f>
        <v>93556.207648792813</v>
      </c>
      <c r="P12" s="2">
        <f t="shared" si="3"/>
        <v>350000</v>
      </c>
      <c r="Q12" s="2">
        <v>-329597.11995805777</v>
      </c>
      <c r="R12" s="2">
        <f>'Alt 2 - Self-checkout System'!$H$36</f>
        <v>117009.82612146874</v>
      </c>
      <c r="W12" s="2">
        <f>W11+20000</f>
        <v>1161536.6499999999</v>
      </c>
      <c r="X12" s="2">
        <v>111069.98713789874</v>
      </c>
      <c r="Y12" s="2">
        <f>'Alt 2 - Self-checkout System'!$H$36</f>
        <v>117009.82612146874</v>
      </c>
      <c r="AD12" s="2">
        <f t="shared" si="4"/>
        <v>4061536.65</v>
      </c>
      <c r="AE12" s="2">
        <v>-495853.69396256562</v>
      </c>
      <c r="AF12" s="2">
        <f>'Alt 1 - Conventional System'!$H$38</f>
        <v>93556.207648792813</v>
      </c>
      <c r="AL12" s="18">
        <f t="shared" si="0"/>
        <v>8561536.6500000004</v>
      </c>
      <c r="AM12" s="18">
        <v>278178.99</v>
      </c>
      <c r="AN12" s="18">
        <f>'Alt 2 - Self-checkout System'!$H$36</f>
        <v>117009.82612146874</v>
      </c>
    </row>
    <row r="13" spans="1:45">
      <c r="B13" s="2">
        <f t="shared" si="1"/>
        <v>54534</v>
      </c>
      <c r="C13" s="2">
        <v>117248.54423782362</v>
      </c>
      <c r="D13" s="2">
        <f>'Alt 2 - Self-checkout System'!$H$36</f>
        <v>117009.82612146874</v>
      </c>
      <c r="I13" s="2">
        <f t="shared" si="2"/>
        <v>450000</v>
      </c>
      <c r="J13" s="2">
        <v>-495853.69396256562</v>
      </c>
      <c r="K13" s="2">
        <f>'Alt 1 - Conventional System'!$H$38</f>
        <v>93556.207648792813</v>
      </c>
      <c r="P13" s="2">
        <f t="shared" si="3"/>
        <v>450000</v>
      </c>
      <c r="Q13" s="2">
        <v>-296345.80515715614</v>
      </c>
      <c r="R13" s="2">
        <f>'Alt 2 - Self-checkout System'!$H$36</f>
        <v>117009.82612146874</v>
      </c>
      <c r="W13" s="2">
        <f>W12+20000</f>
        <v>1181536.6499999999</v>
      </c>
      <c r="X13" s="2">
        <v>114572.74303571992</v>
      </c>
      <c r="Y13" s="2">
        <f>'Alt 2 - Self-checkout System'!$H$36</f>
        <v>117009.82612146874</v>
      </c>
      <c r="AD13" s="2">
        <f t="shared" si="4"/>
        <v>4661536.6500000004</v>
      </c>
      <c r="AE13" s="2">
        <v>-495853.69396256562</v>
      </c>
      <c r="AF13" s="2">
        <f>'Alt 1 - Conventional System'!$H$38</f>
        <v>93556.207648792813</v>
      </c>
      <c r="AL13" s="18">
        <f t="shared" si="0"/>
        <v>10061536.65</v>
      </c>
      <c r="AM13" s="18">
        <v>432985.53</v>
      </c>
      <c r="AN13" s="18">
        <f>'Alt 2 - Self-checkout System'!$H$36</f>
        <v>117009.82612146874</v>
      </c>
    </row>
    <row r="14" spans="1:45">
      <c r="B14" s="2">
        <f t="shared" si="1"/>
        <v>64534</v>
      </c>
      <c r="C14" s="2">
        <v>121197.26700266209</v>
      </c>
      <c r="D14" s="2">
        <f>'Alt 2 - Self-checkout System'!$H$36</f>
        <v>117009.82612146874</v>
      </c>
      <c r="I14" s="69"/>
      <c r="J14" s="69"/>
      <c r="K14" s="69"/>
      <c r="P14" s="69"/>
      <c r="Q14" s="69"/>
      <c r="R14" s="69"/>
      <c r="W14" s="2">
        <f>W13+20000</f>
        <v>1201536.6499999999</v>
      </c>
      <c r="X14" s="2">
        <v>118075.49893354112</v>
      </c>
      <c r="Y14" s="2">
        <f>'Alt 2 - Self-checkout System'!$H$36</f>
        <v>117009.82612146874</v>
      </c>
      <c r="AD14" s="2">
        <f t="shared" si="4"/>
        <v>5261536.6500000004</v>
      </c>
      <c r="AE14" s="2">
        <v>-495853.69396256562</v>
      </c>
      <c r="AF14" s="2">
        <f>'Alt 1 - Conventional System'!$H$38</f>
        <v>93556.207648792813</v>
      </c>
      <c r="AL14" s="230"/>
      <c r="AM14" s="230"/>
      <c r="AN14" s="230"/>
      <c r="AQ14" s="69"/>
      <c r="AR14" s="234"/>
      <c r="AS14" s="234"/>
    </row>
    <row r="15" spans="1:45">
      <c r="B15" s="2">
        <f t="shared" si="1"/>
        <v>74534</v>
      </c>
      <c r="C15" s="2">
        <v>125145.98976750055</v>
      </c>
      <c r="D15" s="2">
        <f>'Alt 2 - Self-checkout System'!$H$36</f>
        <v>117009.82612146874</v>
      </c>
      <c r="I15" s="69"/>
      <c r="J15" s="69"/>
      <c r="K15" s="69"/>
      <c r="P15" s="69"/>
      <c r="Q15" s="69"/>
      <c r="R15" s="69"/>
      <c r="W15" s="2">
        <f>W14+20000</f>
        <v>1221536.6499999999</v>
      </c>
      <c r="X15" s="2">
        <v>121578.25483136231</v>
      </c>
      <c r="Y15" s="2">
        <f>'Alt 2 - Self-checkout System'!$H$36</f>
        <v>117009.82612146874</v>
      </c>
      <c r="AD15" s="2">
        <f t="shared" si="4"/>
        <v>5861536.6500000004</v>
      </c>
      <c r="AE15" s="2">
        <v>-495853.69396256562</v>
      </c>
      <c r="AF15" s="2">
        <f>'Alt 1 - Conventional System'!$H$38</f>
        <v>93556.207648792813</v>
      </c>
      <c r="AL15" s="230"/>
      <c r="AM15" s="230"/>
      <c r="AN15" s="230"/>
    </row>
    <row r="16" spans="1:45">
      <c r="B16" s="2">
        <f t="shared" si="1"/>
        <v>84534</v>
      </c>
      <c r="C16" s="2">
        <v>129094.71253233902</v>
      </c>
      <c r="D16" s="2">
        <f>'Alt 2 - Self-checkout System'!$H$36</f>
        <v>117009.82612146874</v>
      </c>
      <c r="I16" s="69"/>
      <c r="J16" s="69"/>
      <c r="K16" s="69"/>
      <c r="W16" s="2">
        <f>W15+20000</f>
        <v>1241536.6499999999</v>
      </c>
      <c r="X16" s="2">
        <v>125081.0107291835</v>
      </c>
      <c r="Y16" s="2">
        <f>'Alt 2 - Self-checkout System'!$H$36</f>
        <v>117009.82612146874</v>
      </c>
      <c r="AD16" s="2">
        <f t="shared" si="4"/>
        <v>6461536.6500000004</v>
      </c>
      <c r="AE16" s="2">
        <v>-495853.69396256562</v>
      </c>
      <c r="AF16" s="2">
        <f>'Alt 1 - Conventional System'!$H$38</f>
        <v>93556.207648792813</v>
      </c>
      <c r="AL16" s="230"/>
      <c r="AM16" s="230"/>
      <c r="AN16" s="230"/>
    </row>
    <row r="17" spans="2:40">
      <c r="B17" s="69"/>
      <c r="C17" s="69"/>
      <c r="D17" s="69"/>
      <c r="I17" s="69"/>
      <c r="J17" s="69"/>
      <c r="K17" s="69"/>
      <c r="W17" s="69"/>
      <c r="X17" s="69"/>
      <c r="Y17" s="69"/>
      <c r="AD17" s="2">
        <f t="shared" si="4"/>
        <v>7061536.6500000004</v>
      </c>
      <c r="AE17" s="2">
        <v>-495853.69396256562</v>
      </c>
      <c r="AF17" s="2">
        <f>'Alt 1 - Conventional System'!$H$38</f>
        <v>93556.207648792813</v>
      </c>
      <c r="AL17" s="230"/>
      <c r="AM17" s="230"/>
      <c r="AN17" s="230"/>
    </row>
    <row r="18" spans="2:40">
      <c r="B18" s="69"/>
      <c r="C18" s="69"/>
      <c r="D18" s="69"/>
      <c r="I18" s="69"/>
      <c r="J18" s="69"/>
      <c r="K18" s="69"/>
      <c r="W18" s="69"/>
      <c r="X18" s="69"/>
      <c r="Y18" s="69"/>
      <c r="AD18" s="2">
        <f t="shared" si="4"/>
        <v>7661536.6500000004</v>
      </c>
      <c r="AE18" s="2">
        <v>-495853.69396256562</v>
      </c>
      <c r="AF18" s="2">
        <f>'Alt 1 - Conventional System'!$H$38</f>
        <v>93556.207648792813</v>
      </c>
      <c r="AL18" s="230"/>
      <c r="AM18" s="230"/>
      <c r="AN18" s="230"/>
    </row>
    <row r="19" spans="2:40">
      <c r="AD19" s="2">
        <f t="shared" si="4"/>
        <v>8261536.6500000004</v>
      </c>
      <c r="AE19" s="2">
        <v>-495853.69396256562</v>
      </c>
      <c r="AF19" s="2">
        <f>'Alt 1 - Conventional System'!$H$38</f>
        <v>93556.207648792813</v>
      </c>
    </row>
    <row r="20" spans="2:40">
      <c r="AD20" s="2">
        <f t="shared" si="4"/>
        <v>8861536.6500000004</v>
      </c>
      <c r="AE20" s="2">
        <v>-495853.69396256562</v>
      </c>
      <c r="AF20" s="2">
        <f>'Alt 1 - Conventional System'!$H$38</f>
        <v>93556.207648792813</v>
      </c>
    </row>
  </sheetData>
  <mergeCells count="12">
    <mergeCell ref="AM1:AP1"/>
    <mergeCell ref="AL2:AQ2"/>
    <mergeCell ref="A2:F2"/>
    <mergeCell ref="AC2:AI2"/>
    <mergeCell ref="W1:Z1"/>
    <mergeCell ref="V2:AA2"/>
    <mergeCell ref="AD1:AG1"/>
    <mergeCell ref="B1:E1"/>
    <mergeCell ref="I1:L1"/>
    <mergeCell ref="P1:S1"/>
    <mergeCell ref="H2:M2"/>
    <mergeCell ref="O2:T2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993514F0604A4383FD109EE99A84D2" ma:contentTypeVersion="6" ma:contentTypeDescription="Create a new document." ma:contentTypeScope="" ma:versionID="2438aabf2a5af99f2eac185745b8b422">
  <xsd:schema xmlns:xsd="http://www.w3.org/2001/XMLSchema" xmlns:xs="http://www.w3.org/2001/XMLSchema" xmlns:p="http://schemas.microsoft.com/office/2006/metadata/properties" xmlns:ns2="8a03d51b-cdb6-4454-b034-6cb476e4d408" xmlns:ns3="56091e6b-2ef3-4cc2-868e-a025c9e3ef20" targetNamespace="http://schemas.microsoft.com/office/2006/metadata/properties" ma:root="true" ma:fieldsID="4d7bd9bd4a60a5851ca040bef818ac55" ns2:_="" ns3:_="">
    <xsd:import namespace="8a03d51b-cdb6-4454-b034-6cb476e4d408"/>
    <xsd:import namespace="56091e6b-2ef3-4cc2-868e-a025c9e3ef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03d51b-cdb6-4454-b034-6cb476e4d4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091e6b-2ef3-4cc2-868e-a025c9e3ef2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16C279-516D-420A-8D5D-5F7E1694B1EC}"/>
</file>

<file path=customXml/itemProps2.xml><?xml version="1.0" encoding="utf-8"?>
<ds:datastoreItem xmlns:ds="http://schemas.openxmlformats.org/officeDocument/2006/customXml" ds:itemID="{3BC55E9D-EC60-40D0-B5D9-2F10AD237830}"/>
</file>

<file path=customXml/itemProps3.xml><?xml version="1.0" encoding="utf-8"?>
<ds:datastoreItem xmlns:ds="http://schemas.openxmlformats.org/officeDocument/2006/customXml" ds:itemID="{277594FB-447C-45A4-88B2-7C50B305AC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Athena Yang Rui Jing</cp:lastModifiedBy>
  <cp:revision/>
  <dcterms:created xsi:type="dcterms:W3CDTF">2024-04-02T10:39:42Z</dcterms:created>
  <dcterms:modified xsi:type="dcterms:W3CDTF">2024-04-15T07:40:53Z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0x01010013993514F0604A4383FD109EE99A84D2</vt:lpwstr>
  </property>
</Properties>
</file>