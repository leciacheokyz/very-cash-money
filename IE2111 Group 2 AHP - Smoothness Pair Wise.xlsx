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ia\Downloads\"/>
    </mc:Choice>
  </mc:AlternateContent>
  <xr:revisionPtr revIDLastSave="0" documentId="13_ncr:1_{5A197F2D-B1D0-4021-A48B-D7C7F8A941C9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ummary" sheetId="2" r:id="rId1"/>
    <sheet name="In1" sheetId="3" r:id="rId2"/>
    <sheet name="In2" sheetId="4" r:id="rId3"/>
    <sheet name="In3" sheetId="5" r:id="rId4"/>
    <sheet name="In4" sheetId="6" r:id="rId5"/>
    <sheet name="In5" sheetId="7" r:id="rId6"/>
    <sheet name="In6" sheetId="8" state="hidden" r:id="rId7"/>
    <sheet name="In7" sheetId="9" state="hidden" r:id="rId8"/>
    <sheet name="In8" sheetId="10" state="hidden" r:id="rId9"/>
    <sheet name="In9" sheetId="11" state="hidden" r:id="rId10"/>
    <sheet name="In10" sheetId="12" state="hidden" r:id="rId11"/>
    <sheet name="In11" sheetId="13" state="hidden" r:id="rId12"/>
    <sheet name="In12" sheetId="14" state="hidden" r:id="rId13"/>
    <sheet name="In13" sheetId="15" state="hidden" r:id="rId14"/>
    <sheet name="In14" sheetId="16" state="hidden" r:id="rId15"/>
    <sheet name="In15" sheetId="17" state="hidden" r:id="rId16"/>
    <sheet name="In16" sheetId="18" state="hidden" r:id="rId17"/>
    <sheet name="In17" sheetId="19" state="hidden" r:id="rId18"/>
    <sheet name="In18" sheetId="20" state="hidden" r:id="rId19"/>
    <sheet name="In19" sheetId="21" state="hidden" r:id="rId20"/>
    <sheet name="In20" sheetId="22" state="hidden" r:id="rId21"/>
    <sheet name="multInp" sheetId="23" r:id="rId22"/>
    <sheet name="10x10" sheetId="24" r:id="rId23"/>
  </sheets>
  <definedNames>
    <definedName name="check">'10x10'!$B$39</definedName>
    <definedName name="consMat">Summary!$C$38:$L$47</definedName>
    <definedName name="EV_20">'10x10'!$AG$28:$AG$37</definedName>
    <definedName name="m_p0">multInp!$B$9:$K$18</definedName>
    <definedName name="m_p1">multInp!$M$9:$V$18</definedName>
    <definedName name="m_p10">multInp!$B$74:$K$83</definedName>
    <definedName name="m_p11">multInp!$M$74:$V$83</definedName>
    <definedName name="m_p12">multInp!$B$87:$K$96</definedName>
    <definedName name="m_p13">multInp!$M$87:$V$96</definedName>
    <definedName name="m_p14">multInp!$B$100:$K$109</definedName>
    <definedName name="m_p15">multInp!$M$100:$V$109</definedName>
    <definedName name="m_p16">multInp!$B$113:$K$122</definedName>
    <definedName name="m_p17">multInp!$M$113:$V$122</definedName>
    <definedName name="m_p18">multInp!$B$126:$K$135</definedName>
    <definedName name="m_p19">multInp!$M$126:$V$135</definedName>
    <definedName name="m_p2">multInp!$B$22:$K$31</definedName>
    <definedName name="m_p20">multInp!$B$139:$K$148</definedName>
    <definedName name="m_p3">multInp!$M$22:$V$31</definedName>
    <definedName name="m_p4">multInp!$B$35:$K$44</definedName>
    <definedName name="m_p5">multInp!$M$35:$V$44</definedName>
    <definedName name="m_p6">multInp!$B$48:$K$57</definedName>
    <definedName name="m_p7">multInp!$M$48:$V$57</definedName>
    <definedName name="m_p8">multInp!$B$61:$K$70</definedName>
    <definedName name="m_p9">multInp!$M$61:$V$70</definedName>
    <definedName name="m_summary">Summary!$C$38:$J$45</definedName>
    <definedName name="Matrix1">'In1'!$C$79:$L$88</definedName>
    <definedName name="Matrix10">'In10'!$C$79:$L$88</definedName>
    <definedName name="Matrix11">'In11'!$C$79:$L$88</definedName>
    <definedName name="Matrix12">'In12'!$C$79:$L$88</definedName>
    <definedName name="Matrix13">'In13'!$C$79:$L$88</definedName>
    <definedName name="Matrix14">'In14'!$C$79:$L$88</definedName>
    <definedName name="Matrix15">'In15'!$C$79:$L$88</definedName>
    <definedName name="Matrix16">'In16'!$C$79:$L$88</definedName>
    <definedName name="Matrix17">'In17'!$C$79:$L$88</definedName>
    <definedName name="Matrix18">'In18'!$C$79:$L$88</definedName>
    <definedName name="Matrix19">'In19'!$C$79:$L$88</definedName>
    <definedName name="Matrix2">'In2'!$C$79:$L$88</definedName>
    <definedName name="Matrix20">'In20'!$C$79:$L$88</definedName>
    <definedName name="Matrix3">'In3'!$C$79:$L$88</definedName>
    <definedName name="Matrix4">'In4'!$C$79:$L$88</definedName>
    <definedName name="Matrix5">'In5'!$C$79:$L$88</definedName>
    <definedName name="Matrix6">'In6'!$C$79:$L$88</definedName>
    <definedName name="Matrix7">'In7'!$C$79:$L$88</definedName>
    <definedName name="Matrix8">'In8'!$C$79:$L$88</definedName>
    <definedName name="Matrix9">'In9'!$C$79:$L$88</definedName>
    <definedName name="p_sel">Summary!$B$9</definedName>
    <definedName name="_xlnm.Print_Area" localSheetId="1">'In1'!$A$1:$P$73</definedName>
    <definedName name="_xlnm.Print_Area" localSheetId="10">'In10'!$A$1:$O$73</definedName>
    <definedName name="_xlnm.Print_Area" localSheetId="11">'In11'!$A$1:$O$73</definedName>
    <definedName name="_xlnm.Print_Area" localSheetId="12">'In12'!$A$1:$O$73</definedName>
    <definedName name="_xlnm.Print_Area" localSheetId="13">'In13'!$A$1:$O$73</definedName>
    <definedName name="_xlnm.Print_Area" localSheetId="14">'In14'!$A$1:$O$73</definedName>
    <definedName name="_xlnm.Print_Area" localSheetId="15">'In15'!$A$1:$O$73</definedName>
    <definedName name="_xlnm.Print_Area" localSheetId="16">'In16'!$A$1:$O$73</definedName>
    <definedName name="_xlnm.Print_Area" localSheetId="17">'In17'!$A$1:$O$73</definedName>
    <definedName name="_xlnm.Print_Area" localSheetId="18">'In18'!$A$1:$O$73</definedName>
    <definedName name="_xlnm.Print_Area" localSheetId="19">'In19'!$A$1:$O$73</definedName>
    <definedName name="_xlnm.Print_Area" localSheetId="2">'In2'!$A$1:$O$73</definedName>
    <definedName name="_xlnm.Print_Area" localSheetId="20">'In20'!$A$1:$O$73</definedName>
    <definedName name="_xlnm.Print_Area" localSheetId="3">'In3'!$A$1:$O$73</definedName>
    <definedName name="_xlnm.Print_Area" localSheetId="4">'In4'!$A$1:$O$73</definedName>
    <definedName name="_xlnm.Print_Area" localSheetId="5">'In5'!$A$1:$O$73</definedName>
    <definedName name="_xlnm.Print_Area" localSheetId="6">'In6'!$A$1:$O$73</definedName>
    <definedName name="_xlnm.Print_Area" localSheetId="7">'In7'!$A$1:$O$73</definedName>
    <definedName name="_xlnm.Print_Area" localSheetId="8">'In8'!$A$1:$O$73</definedName>
    <definedName name="_xlnm.Print_Area" localSheetId="9">'In9'!$A$1:$O$73</definedName>
    <definedName name="_xlnm.Print_Area" localSheetId="21">multInp!$A$1:$V$83</definedName>
    <definedName name="_xlnm.Print_Area" localSheetId="0">Summary!$A$1:$P$47</definedName>
    <definedName name="RGGM1">'In1'!$N$91:$N$100</definedName>
    <definedName name="RGGM10">'In10'!$N$91:$N$100</definedName>
    <definedName name="RGGM11">'In11'!$N$91:$N$100</definedName>
    <definedName name="RGGM12">'In12'!$N$91:$N$100</definedName>
    <definedName name="RGGM13">'In13'!$N$91:$N$100</definedName>
    <definedName name="RGGM14">'In14'!$N$91:$N$100</definedName>
    <definedName name="RGGM15">'In15'!$N$91:$N$100</definedName>
    <definedName name="RGGM16">'In16'!$N$91:$N$100</definedName>
    <definedName name="RGGM17">'In17'!$N$91:$N$100</definedName>
    <definedName name="RGGM18">'In18'!$N$91:$N$100</definedName>
    <definedName name="RGGM19">'In19'!$N$91:$N$100</definedName>
    <definedName name="RGGM2">'In2'!$N$91:$N$100</definedName>
    <definedName name="RGGM20">'In20'!$N$91:$N$100</definedName>
    <definedName name="RGGM3">'In3'!$N$91:$N$100</definedName>
    <definedName name="RGGM4">'In4'!$N$91:$N$100</definedName>
    <definedName name="RGGM5">'In5'!$N$91:$N$100</definedName>
    <definedName name="RGGM6">'In6'!$N$91:$N$100</definedName>
    <definedName name="RGGM7">'In7'!$N$91:$N$100</definedName>
    <definedName name="RGGM8">'In8'!$N$91:$N$100</definedName>
    <definedName name="RGGM9">'In9'!$N$91:$N$100</definedName>
    <definedName name="RGMM11">'In11'!$N$91:$N$100</definedName>
    <definedName name="RGMM12">'In12'!$N$91:$N$100</definedName>
    <definedName name="RGMM13">'In13'!$N$91:$N$100</definedName>
    <definedName name="RGMM14">'In14'!$N$91:$N$100</definedName>
    <definedName name="RGMM15">'In15'!$N$91:$N$100</definedName>
    <definedName name="RGMM16">'In16'!$N$91:$N$100</definedName>
    <definedName name="RGMM17">'In17'!$N$91:$N$100</definedName>
    <definedName name="RGMM18">'In18'!$N$91:$N$100</definedName>
    <definedName name="RGMM19">'In19'!$N$91:$N$100</definedName>
    <definedName name="RGMM20">'In20'!$N$91:$N$100</definedName>
    <definedName name="w_p1" localSheetId="21">multInp!$AO$7</definedName>
    <definedName name="w_p10" localSheetId="21">multInp!$AD$72</definedName>
    <definedName name="w_p11" localSheetId="21">multInp!$AO$72</definedName>
    <definedName name="w_p12" localSheetId="21">multInp!$AD$85</definedName>
    <definedName name="w_p13" localSheetId="21">multInp!$AO$85</definedName>
    <definedName name="w_p14" localSheetId="21">multInp!$AD$98</definedName>
    <definedName name="w_p15" localSheetId="21">multInp!$AO$98</definedName>
    <definedName name="w_p16" localSheetId="21">multInp!$AD$111</definedName>
    <definedName name="w_p17" localSheetId="21">multInp!$AO$111</definedName>
    <definedName name="w_p18" localSheetId="21">multInp!$AD$124</definedName>
    <definedName name="w_p19" localSheetId="21">multInp!$AO$124</definedName>
    <definedName name="w_p2" localSheetId="21">multInp!$AD$20</definedName>
    <definedName name="w_p20" localSheetId="21">multInp!$AD$137</definedName>
    <definedName name="w_p3" localSheetId="21">multInp!$AO$20</definedName>
    <definedName name="w_p4" localSheetId="21">multInp!$AD$33</definedName>
    <definedName name="w_p5" localSheetId="21">multInp!$AO$33</definedName>
    <definedName name="w_p6" localSheetId="21">multInp!$AD$46</definedName>
    <definedName name="w_p7" localSheetId="21">multInp!$AO$46</definedName>
    <definedName name="w_p8" localSheetId="21">multInp!$AD$59</definedName>
    <definedName name="w_p9" localSheetId="21">multInp!$AO$59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9" i="24" l="1"/>
  <c r="M1" i="24"/>
  <c r="G15" i="24" s="1"/>
  <c r="N5" i="23"/>
  <c r="K17" i="23" s="1"/>
  <c r="N4" i="23"/>
  <c r="L100" i="22"/>
  <c r="K99" i="22"/>
  <c r="J98" i="22"/>
  <c r="I97" i="22"/>
  <c r="H96" i="22"/>
  <c r="G95" i="22"/>
  <c r="F94" i="22"/>
  <c r="E93" i="22"/>
  <c r="D92" i="22"/>
  <c r="C91" i="22"/>
  <c r="W89" i="22"/>
  <c r="Q87" i="22"/>
  <c r="U86" i="22"/>
  <c r="H76" i="22"/>
  <c r="L66" i="22"/>
  <c r="K66" i="22"/>
  <c r="O65" i="22"/>
  <c r="O64" i="22"/>
  <c r="O63" i="22"/>
  <c r="O62" i="22"/>
  <c r="O61" i="22"/>
  <c r="O60" i="22"/>
  <c r="H60" i="22"/>
  <c r="O59" i="22"/>
  <c r="O58" i="22"/>
  <c r="H58" i="22"/>
  <c r="O57" i="22"/>
  <c r="O56" i="22"/>
  <c r="O55" i="22"/>
  <c r="O54" i="22"/>
  <c r="O53" i="22"/>
  <c r="H53" i="22"/>
  <c r="O52" i="22"/>
  <c r="O51" i="22"/>
  <c r="A51" i="22"/>
  <c r="D51" i="22" s="1"/>
  <c r="O50" i="22"/>
  <c r="O49" i="22"/>
  <c r="O48" i="22"/>
  <c r="O47" i="22"/>
  <c r="O46" i="22"/>
  <c r="O45" i="22"/>
  <c r="O44" i="22"/>
  <c r="O43" i="22"/>
  <c r="H43" i="22"/>
  <c r="O42" i="22"/>
  <c r="O41" i="22"/>
  <c r="O40" i="22"/>
  <c r="A40" i="22"/>
  <c r="D40" i="22" s="1"/>
  <c r="O39" i="22"/>
  <c r="A39" i="22"/>
  <c r="D39" i="22" s="1"/>
  <c r="O38" i="22"/>
  <c r="O37" i="22"/>
  <c r="O36" i="22"/>
  <c r="O35" i="22"/>
  <c r="H35" i="22"/>
  <c r="O34" i="22"/>
  <c r="O33" i="22"/>
  <c r="O32" i="22"/>
  <c r="O31" i="22"/>
  <c r="H31" i="22"/>
  <c r="O30" i="22"/>
  <c r="O29" i="22"/>
  <c r="O28" i="22"/>
  <c r="O27" i="22"/>
  <c r="O26" i="22"/>
  <c r="O25" i="22"/>
  <c r="H25" i="22"/>
  <c r="O24" i="22"/>
  <c r="H24" i="22"/>
  <c r="A24" i="22"/>
  <c r="D24" i="22" s="1"/>
  <c r="O23" i="22"/>
  <c r="O22" i="22"/>
  <c r="O21" i="22"/>
  <c r="O17" i="22"/>
  <c r="K17" i="22"/>
  <c r="G15" i="22"/>
  <c r="B15" i="22"/>
  <c r="G14" i="22"/>
  <c r="B14" i="22"/>
  <c r="G13" i="22"/>
  <c r="B13" i="22"/>
  <c r="G12" i="22"/>
  <c r="B12" i="22"/>
  <c r="G11" i="22"/>
  <c r="B11" i="22"/>
  <c r="G10" i="22"/>
  <c r="B10" i="22"/>
  <c r="G9" i="22"/>
  <c r="B9" i="22"/>
  <c r="G8" i="22"/>
  <c r="B8" i="22"/>
  <c r="H22" i="22" s="1"/>
  <c r="G7" i="22"/>
  <c r="B7" i="22"/>
  <c r="H21" i="22" s="1"/>
  <c r="G6" i="22"/>
  <c r="B6" i="22"/>
  <c r="D2" i="22"/>
  <c r="K1" i="22"/>
  <c r="F114" i="22" s="1"/>
  <c r="L100" i="21"/>
  <c r="K99" i="21"/>
  <c r="J98" i="21"/>
  <c r="I97" i="21"/>
  <c r="H96" i="21"/>
  <c r="G95" i="21"/>
  <c r="F94" i="21"/>
  <c r="E93" i="21"/>
  <c r="D92" i="21"/>
  <c r="C91" i="21"/>
  <c r="Q85" i="21"/>
  <c r="H76" i="21"/>
  <c r="L66" i="21"/>
  <c r="K66" i="21"/>
  <c r="O65" i="21"/>
  <c r="O64" i="21"/>
  <c r="O63" i="21"/>
  <c r="O62" i="21"/>
  <c r="O61" i="21"/>
  <c r="H61" i="21"/>
  <c r="O60" i="21"/>
  <c r="O59" i="21"/>
  <c r="H59" i="21"/>
  <c r="O58" i="21"/>
  <c r="O57" i="21"/>
  <c r="H57" i="21"/>
  <c r="O56" i="21"/>
  <c r="O55" i="21"/>
  <c r="O54" i="21"/>
  <c r="O53" i="21"/>
  <c r="O52" i="21"/>
  <c r="H52" i="21"/>
  <c r="O51" i="21"/>
  <c r="O50" i="21"/>
  <c r="O49" i="21"/>
  <c r="O48" i="21"/>
  <c r="O47" i="21"/>
  <c r="O46" i="21"/>
  <c r="O45" i="21"/>
  <c r="H45" i="21"/>
  <c r="O44" i="21"/>
  <c r="O43" i="21"/>
  <c r="O42" i="21"/>
  <c r="H42" i="21"/>
  <c r="O41" i="21"/>
  <c r="H41" i="21"/>
  <c r="O40" i="21"/>
  <c r="O39" i="21"/>
  <c r="O38" i="21"/>
  <c r="H38" i="21"/>
  <c r="O37" i="21"/>
  <c r="O36" i="21"/>
  <c r="H36" i="21"/>
  <c r="O35" i="21"/>
  <c r="O34" i="21"/>
  <c r="H34" i="21"/>
  <c r="O33" i="21"/>
  <c r="O32" i="21"/>
  <c r="O31" i="21"/>
  <c r="O30" i="21"/>
  <c r="O29" i="21"/>
  <c r="H29" i="21"/>
  <c r="O28" i="21"/>
  <c r="O27" i="21"/>
  <c r="H27" i="21"/>
  <c r="O26" i="21"/>
  <c r="O25" i="21"/>
  <c r="O24" i="21"/>
  <c r="O23" i="21"/>
  <c r="H23" i="21"/>
  <c r="O22" i="21"/>
  <c r="O21" i="21"/>
  <c r="O17" i="21"/>
  <c r="K17" i="21"/>
  <c r="G15" i="21"/>
  <c r="B15" i="21"/>
  <c r="G14" i="21"/>
  <c r="B14" i="21"/>
  <c r="H63" i="21" s="1"/>
  <c r="G13" i="21"/>
  <c r="B13" i="21"/>
  <c r="H47" i="21" s="1"/>
  <c r="G12" i="21"/>
  <c r="B12" i="21"/>
  <c r="G11" i="21"/>
  <c r="B11" i="21"/>
  <c r="G10" i="21"/>
  <c r="B10" i="21"/>
  <c r="G9" i="21"/>
  <c r="B9" i="21"/>
  <c r="G8" i="21"/>
  <c r="B8" i="21"/>
  <c r="H22" i="21" s="1"/>
  <c r="G7" i="21"/>
  <c r="B7" i="21"/>
  <c r="H21" i="21" s="1"/>
  <c r="G6" i="21"/>
  <c r="B6" i="21"/>
  <c r="D2" i="21"/>
  <c r="K1" i="21"/>
  <c r="A32" i="21" s="1"/>
  <c r="D32" i="21" s="1"/>
  <c r="L100" i="20"/>
  <c r="K99" i="20"/>
  <c r="J98" i="20"/>
  <c r="I97" i="20"/>
  <c r="H96" i="20"/>
  <c r="G95" i="20"/>
  <c r="F94" i="20"/>
  <c r="E93" i="20"/>
  <c r="D92" i="20"/>
  <c r="C91" i="20"/>
  <c r="Y85" i="20"/>
  <c r="H76" i="20"/>
  <c r="L66" i="20"/>
  <c r="K66" i="20"/>
  <c r="O65" i="20"/>
  <c r="O64" i="20"/>
  <c r="O63" i="20"/>
  <c r="O62" i="20"/>
  <c r="O61" i="20"/>
  <c r="O60" i="20"/>
  <c r="H60" i="20"/>
  <c r="O59" i="20"/>
  <c r="O58" i="20"/>
  <c r="H58" i="20"/>
  <c r="O57" i="20"/>
  <c r="O56" i="20"/>
  <c r="O55" i="20"/>
  <c r="O54" i="20"/>
  <c r="O53" i="20"/>
  <c r="H53" i="20"/>
  <c r="O52" i="20"/>
  <c r="O51" i="20"/>
  <c r="O50" i="20"/>
  <c r="O49" i="20"/>
  <c r="O48" i="20"/>
  <c r="O47" i="20"/>
  <c r="O46" i="20"/>
  <c r="O45" i="20"/>
  <c r="O44" i="20"/>
  <c r="H44" i="20"/>
  <c r="O43" i="20"/>
  <c r="H43" i="20"/>
  <c r="O42" i="20"/>
  <c r="H42" i="20"/>
  <c r="O41" i="20"/>
  <c r="O40" i="20"/>
  <c r="O39" i="20"/>
  <c r="O38" i="20"/>
  <c r="O37" i="20"/>
  <c r="H37" i="20"/>
  <c r="O36" i="20"/>
  <c r="O35" i="20"/>
  <c r="O34" i="20"/>
  <c r="H34" i="20"/>
  <c r="O33" i="20"/>
  <c r="H33" i="20"/>
  <c r="O32" i="20"/>
  <c r="O31" i="20"/>
  <c r="O30" i="20"/>
  <c r="O29" i="20"/>
  <c r="O28" i="20"/>
  <c r="H28" i="20"/>
  <c r="O27" i="20"/>
  <c r="H27" i="20"/>
  <c r="O26" i="20"/>
  <c r="H26" i="20"/>
  <c r="O25" i="20"/>
  <c r="O24" i="20"/>
  <c r="O23" i="20"/>
  <c r="O22" i="20"/>
  <c r="O21" i="20"/>
  <c r="O17" i="20"/>
  <c r="K17" i="20"/>
  <c r="G15" i="20"/>
  <c r="B15" i="20"/>
  <c r="H62" i="20" s="1"/>
  <c r="G14" i="20"/>
  <c r="B14" i="20"/>
  <c r="G13" i="20"/>
  <c r="B13" i="20"/>
  <c r="H48" i="20" s="1"/>
  <c r="G12" i="20"/>
  <c r="B12" i="20"/>
  <c r="H46" i="20" s="1"/>
  <c r="G11" i="20"/>
  <c r="B11" i="20"/>
  <c r="H25" i="20" s="1"/>
  <c r="G10" i="20"/>
  <c r="B10" i="20"/>
  <c r="G9" i="20"/>
  <c r="B9" i="20"/>
  <c r="H23" i="20" s="1"/>
  <c r="G8" i="20"/>
  <c r="B8" i="20"/>
  <c r="H22" i="20" s="1"/>
  <c r="G7" i="20"/>
  <c r="B7" i="20"/>
  <c r="H21" i="20" s="1"/>
  <c r="G6" i="20"/>
  <c r="B6" i="20"/>
  <c r="D2" i="20"/>
  <c r="K1" i="20"/>
  <c r="L100" i="19"/>
  <c r="K99" i="19"/>
  <c r="J98" i="19"/>
  <c r="I97" i="19"/>
  <c r="H96" i="19"/>
  <c r="G95" i="19"/>
  <c r="F94" i="19"/>
  <c r="E93" i="19"/>
  <c r="D92" i="19"/>
  <c r="C91" i="19"/>
  <c r="H76" i="19"/>
  <c r="L66" i="19"/>
  <c r="K66" i="19"/>
  <c r="O65" i="19"/>
  <c r="O64" i="19"/>
  <c r="O63" i="19"/>
  <c r="O62" i="19"/>
  <c r="O61" i="19"/>
  <c r="O60" i="19"/>
  <c r="O59" i="19"/>
  <c r="O58" i="19"/>
  <c r="H58" i="19"/>
  <c r="O57" i="19"/>
  <c r="O56" i="19"/>
  <c r="O55" i="19"/>
  <c r="H55" i="19"/>
  <c r="O54" i="19"/>
  <c r="O53" i="19"/>
  <c r="H53" i="19"/>
  <c r="O52" i="19"/>
  <c r="O51" i="19"/>
  <c r="O50" i="19"/>
  <c r="O49" i="19"/>
  <c r="O48" i="19"/>
  <c r="O47" i="19"/>
  <c r="O46" i="19"/>
  <c r="O45" i="19"/>
  <c r="O44" i="19"/>
  <c r="H44" i="19"/>
  <c r="O43" i="19"/>
  <c r="O42" i="19"/>
  <c r="O41" i="19"/>
  <c r="O40" i="19"/>
  <c r="O39" i="19"/>
  <c r="H39" i="19"/>
  <c r="O38" i="19"/>
  <c r="O37" i="19"/>
  <c r="H37" i="19"/>
  <c r="O36" i="19"/>
  <c r="O35" i="19"/>
  <c r="O34" i="19"/>
  <c r="O33" i="19"/>
  <c r="O32" i="19"/>
  <c r="O31" i="19"/>
  <c r="O30" i="19"/>
  <c r="O29" i="19"/>
  <c r="H29" i="19"/>
  <c r="O28" i="19"/>
  <c r="O27" i="19"/>
  <c r="O26" i="19"/>
  <c r="O25" i="19"/>
  <c r="O24" i="19"/>
  <c r="O23" i="19"/>
  <c r="H23" i="19"/>
  <c r="O22" i="19"/>
  <c r="O21" i="19"/>
  <c r="O17" i="19"/>
  <c r="K17" i="19"/>
  <c r="G15" i="19"/>
  <c r="B15" i="19"/>
  <c r="H56" i="19" s="1"/>
  <c r="G14" i="19"/>
  <c r="B14" i="19"/>
  <c r="H57" i="19" s="1"/>
  <c r="G13" i="19"/>
  <c r="B13" i="19"/>
  <c r="H48" i="19" s="1"/>
  <c r="G12" i="19"/>
  <c r="B12" i="19"/>
  <c r="H32" i="19" s="1"/>
  <c r="G11" i="19"/>
  <c r="B11" i="19"/>
  <c r="H25" i="19" s="1"/>
  <c r="G10" i="19"/>
  <c r="B10" i="19"/>
  <c r="H24" i="19" s="1"/>
  <c r="G9" i="19"/>
  <c r="B9" i="19"/>
  <c r="H34" i="19" s="1"/>
  <c r="G8" i="19"/>
  <c r="B8" i="19"/>
  <c r="H22" i="19" s="1"/>
  <c r="G7" i="19"/>
  <c r="B7" i="19"/>
  <c r="H21" i="19" s="1"/>
  <c r="G6" i="19"/>
  <c r="B6" i="19"/>
  <c r="C77" i="19" s="1" a="1"/>
  <c r="D2" i="19"/>
  <c r="K1" i="19"/>
  <c r="H116" i="19" s="1"/>
  <c r="L100" i="18"/>
  <c r="K99" i="18"/>
  <c r="J98" i="18"/>
  <c r="I97" i="18"/>
  <c r="H96" i="18"/>
  <c r="G95" i="18"/>
  <c r="F94" i="18"/>
  <c r="E93" i="18"/>
  <c r="D92" i="18"/>
  <c r="C91" i="18"/>
  <c r="Y84" i="18"/>
  <c r="S84" i="18"/>
  <c r="U81" i="18"/>
  <c r="H76" i="18"/>
  <c r="L66" i="18"/>
  <c r="K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H48" i="18"/>
  <c r="O47" i="18"/>
  <c r="O46" i="18"/>
  <c r="O45" i="18"/>
  <c r="O44" i="18"/>
  <c r="O43" i="18"/>
  <c r="O42" i="18"/>
  <c r="O41" i="18"/>
  <c r="O40" i="18"/>
  <c r="O39" i="18"/>
  <c r="H39" i="18"/>
  <c r="O38" i="18"/>
  <c r="H38" i="18"/>
  <c r="O37" i="18"/>
  <c r="O36" i="18"/>
  <c r="O35" i="18"/>
  <c r="H35" i="18"/>
  <c r="O34" i="18"/>
  <c r="H34" i="18"/>
  <c r="O33" i="18"/>
  <c r="O32" i="18"/>
  <c r="O31" i="18"/>
  <c r="O30" i="18"/>
  <c r="O29" i="18"/>
  <c r="H29" i="18"/>
  <c r="O28" i="18"/>
  <c r="O27" i="18"/>
  <c r="H27" i="18"/>
  <c r="O26" i="18"/>
  <c r="O25" i="18"/>
  <c r="O24" i="18"/>
  <c r="O23" i="18"/>
  <c r="H23" i="18"/>
  <c r="O22" i="18"/>
  <c r="O21" i="18"/>
  <c r="O17" i="18"/>
  <c r="K17" i="18"/>
  <c r="G15" i="18"/>
  <c r="B15" i="18"/>
  <c r="G14" i="18"/>
  <c r="B14" i="18"/>
  <c r="G13" i="18"/>
  <c r="B13" i="18"/>
  <c r="G12" i="18"/>
  <c r="B12" i="18"/>
  <c r="G11" i="18"/>
  <c r="B11" i="18"/>
  <c r="G10" i="18"/>
  <c r="B10" i="18"/>
  <c r="H24" i="18" s="1"/>
  <c r="G9" i="18"/>
  <c r="B9" i="18"/>
  <c r="G8" i="18"/>
  <c r="B8" i="18"/>
  <c r="H22" i="18" s="1"/>
  <c r="G7" i="18"/>
  <c r="B7" i="18"/>
  <c r="G6" i="18"/>
  <c r="B6" i="18"/>
  <c r="D21" i="18" s="1"/>
  <c r="D2" i="18"/>
  <c r="K1" i="18"/>
  <c r="K113" i="18" s="1"/>
  <c r="L100" i="17"/>
  <c r="K99" i="17"/>
  <c r="J98" i="17"/>
  <c r="I97" i="17"/>
  <c r="H96" i="17"/>
  <c r="G95" i="17"/>
  <c r="F94" i="17"/>
  <c r="E93" i="17"/>
  <c r="D92" i="17"/>
  <c r="C91" i="17"/>
  <c r="S88" i="17"/>
  <c r="T82" i="17"/>
  <c r="H76" i="17"/>
  <c r="L66" i="17"/>
  <c r="K66" i="17"/>
  <c r="O65" i="17"/>
  <c r="O64" i="17"/>
  <c r="O63" i="17"/>
  <c r="H63" i="17"/>
  <c r="O62" i="17"/>
  <c r="O61" i="17"/>
  <c r="O60" i="17"/>
  <c r="O59" i="17"/>
  <c r="O58" i="17"/>
  <c r="O57" i="17"/>
  <c r="O56" i="17"/>
  <c r="O55" i="17"/>
  <c r="O54" i="17"/>
  <c r="O53" i="17"/>
  <c r="H53" i="17"/>
  <c r="O52" i="17"/>
  <c r="H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H38" i="17"/>
  <c r="O37" i="17"/>
  <c r="H37" i="17"/>
  <c r="O36" i="17"/>
  <c r="O35" i="17"/>
  <c r="O34" i="17"/>
  <c r="O33" i="17"/>
  <c r="O32" i="17"/>
  <c r="H32" i="17"/>
  <c r="O31" i="17"/>
  <c r="O30" i="17"/>
  <c r="O29" i="17"/>
  <c r="O28" i="17"/>
  <c r="O27" i="17"/>
  <c r="O26" i="17"/>
  <c r="O25" i="17"/>
  <c r="O24" i="17"/>
  <c r="A24" i="17"/>
  <c r="D24" i="17" s="1"/>
  <c r="O23" i="17"/>
  <c r="O22" i="17"/>
  <c r="H22" i="17"/>
  <c r="O21" i="17"/>
  <c r="H21" i="17"/>
  <c r="O17" i="17"/>
  <c r="K17" i="17"/>
  <c r="G15" i="17"/>
  <c r="B15" i="17"/>
  <c r="G14" i="17"/>
  <c r="B14" i="17"/>
  <c r="H49" i="17" s="1"/>
  <c r="G13" i="17"/>
  <c r="B13" i="17"/>
  <c r="G12" i="17"/>
  <c r="B12" i="17"/>
  <c r="H26" i="17" s="1"/>
  <c r="G11" i="17"/>
  <c r="B11" i="17"/>
  <c r="H36" i="17" s="1"/>
  <c r="G10" i="17"/>
  <c r="B10" i="17"/>
  <c r="H24" i="17" s="1"/>
  <c r="G9" i="17"/>
  <c r="B9" i="17"/>
  <c r="G8" i="17"/>
  <c r="B8" i="17"/>
  <c r="H28" i="17" s="1"/>
  <c r="G7" i="17"/>
  <c r="B7" i="17"/>
  <c r="G6" i="17"/>
  <c r="B6" i="17"/>
  <c r="D2" i="17"/>
  <c r="K1" i="17"/>
  <c r="L128" i="17" s="1"/>
  <c r="K126" i="16"/>
  <c r="L100" i="16"/>
  <c r="K99" i="16"/>
  <c r="J98" i="16"/>
  <c r="I97" i="16"/>
  <c r="H96" i="16"/>
  <c r="G95" i="16"/>
  <c r="F94" i="16"/>
  <c r="E93" i="16"/>
  <c r="D92" i="16"/>
  <c r="C91" i="16"/>
  <c r="Y83" i="16"/>
  <c r="V83" i="16"/>
  <c r="H76" i="16"/>
  <c r="L66" i="16"/>
  <c r="K66" i="16"/>
  <c r="O65" i="16"/>
  <c r="O64" i="16"/>
  <c r="O63" i="16"/>
  <c r="H63" i="16"/>
  <c r="O62" i="16"/>
  <c r="O61" i="16"/>
  <c r="H61" i="16"/>
  <c r="O60" i="16"/>
  <c r="O59" i="16"/>
  <c r="O58" i="16"/>
  <c r="O57" i="16"/>
  <c r="O56" i="16"/>
  <c r="O55" i="16"/>
  <c r="O54" i="16"/>
  <c r="O53" i="16"/>
  <c r="H53" i="16"/>
  <c r="O52" i="16"/>
  <c r="H52" i="16"/>
  <c r="O51" i="16"/>
  <c r="O50" i="16"/>
  <c r="O49" i="16"/>
  <c r="O48" i="16"/>
  <c r="O47" i="16"/>
  <c r="H47" i="16"/>
  <c r="O46" i="16"/>
  <c r="O45" i="16"/>
  <c r="H45" i="16"/>
  <c r="O44" i="16"/>
  <c r="O43" i="16"/>
  <c r="O42" i="16"/>
  <c r="O41" i="16"/>
  <c r="O40" i="16"/>
  <c r="O39" i="16"/>
  <c r="O38" i="16"/>
  <c r="H38" i="16"/>
  <c r="O37" i="16"/>
  <c r="H37" i="16"/>
  <c r="O36" i="16"/>
  <c r="H36" i="16"/>
  <c r="O35" i="16"/>
  <c r="A35" i="16"/>
  <c r="D35" i="16" s="1"/>
  <c r="O34" i="16"/>
  <c r="A34" i="16"/>
  <c r="D34" i="16" s="1"/>
  <c r="O33" i="16"/>
  <c r="O32" i="16"/>
  <c r="O31" i="16"/>
  <c r="H31" i="16"/>
  <c r="O30" i="16"/>
  <c r="O29" i="16"/>
  <c r="H29" i="16"/>
  <c r="O28" i="16"/>
  <c r="O27" i="16"/>
  <c r="H27" i="16"/>
  <c r="O26" i="16"/>
  <c r="O25" i="16"/>
  <c r="O24" i="16"/>
  <c r="H24" i="16"/>
  <c r="O23" i="16"/>
  <c r="H23" i="16"/>
  <c r="O22" i="16"/>
  <c r="O21" i="16"/>
  <c r="O17" i="16"/>
  <c r="K17" i="16"/>
  <c r="G15" i="16"/>
  <c r="B15" i="16"/>
  <c r="H56" i="16" s="1"/>
  <c r="G14" i="16"/>
  <c r="B14" i="16"/>
  <c r="H49" i="16" s="1"/>
  <c r="G13" i="16"/>
  <c r="B13" i="16"/>
  <c r="H33" i="16" s="1"/>
  <c r="G12" i="16"/>
  <c r="B12" i="16"/>
  <c r="H26" i="16" s="1"/>
  <c r="G11" i="16"/>
  <c r="B11" i="16"/>
  <c r="H40" i="16" s="1"/>
  <c r="G10" i="16"/>
  <c r="B10" i="16"/>
  <c r="H35" i="16" s="1"/>
  <c r="G9" i="16"/>
  <c r="B9" i="16"/>
  <c r="H34" i="16" s="1"/>
  <c r="G8" i="16"/>
  <c r="B8" i="16"/>
  <c r="H28" i="16" s="1"/>
  <c r="G7" i="16"/>
  <c r="B7" i="16"/>
  <c r="H21" i="16" s="1"/>
  <c r="G6" i="16"/>
  <c r="B6" i="16"/>
  <c r="D21" i="16" s="1"/>
  <c r="D2" i="16"/>
  <c r="K1" i="16"/>
  <c r="K129" i="16" s="1"/>
  <c r="H124" i="15"/>
  <c r="F113" i="15"/>
  <c r="L100" i="15"/>
  <c r="K99" i="15"/>
  <c r="J98" i="15"/>
  <c r="I97" i="15"/>
  <c r="H96" i="15"/>
  <c r="G95" i="15"/>
  <c r="F94" i="15"/>
  <c r="E93" i="15"/>
  <c r="D92" i="15"/>
  <c r="C91" i="15"/>
  <c r="T87" i="15"/>
  <c r="W79" i="15"/>
  <c r="T79" i="15"/>
  <c r="H76" i="15"/>
  <c r="L66" i="15"/>
  <c r="K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H49" i="15"/>
  <c r="O48" i="15"/>
  <c r="O47" i="15"/>
  <c r="H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H35" i="15"/>
  <c r="O34" i="15"/>
  <c r="H34" i="15"/>
  <c r="O33" i="15"/>
  <c r="O32" i="15"/>
  <c r="H32" i="15"/>
  <c r="O31" i="15"/>
  <c r="O30" i="15"/>
  <c r="O29" i="15"/>
  <c r="O28" i="15"/>
  <c r="H28" i="15"/>
  <c r="O27" i="15"/>
  <c r="H27" i="15"/>
  <c r="O26" i="15"/>
  <c r="O25" i="15"/>
  <c r="O24" i="15"/>
  <c r="O23" i="15"/>
  <c r="O22" i="15"/>
  <c r="O21" i="15"/>
  <c r="O17" i="15"/>
  <c r="K17" i="15"/>
  <c r="G15" i="15"/>
  <c r="B15" i="15"/>
  <c r="H64" i="15" s="1"/>
  <c r="G14" i="15"/>
  <c r="B14" i="15"/>
  <c r="H61" i="15" s="1"/>
  <c r="G13" i="15"/>
  <c r="B13" i="15"/>
  <c r="H42" i="15" s="1"/>
  <c r="G12" i="15"/>
  <c r="B12" i="15"/>
  <c r="G11" i="15"/>
  <c r="B11" i="15"/>
  <c r="G10" i="15"/>
  <c r="B10" i="15"/>
  <c r="H39" i="15" s="1"/>
  <c r="G9" i="15"/>
  <c r="B9" i="15"/>
  <c r="H23" i="15" s="1"/>
  <c r="G8" i="15"/>
  <c r="B8" i="15"/>
  <c r="H22" i="15" s="1"/>
  <c r="G7" i="15"/>
  <c r="B7" i="15"/>
  <c r="H21" i="15" s="1"/>
  <c r="G6" i="15"/>
  <c r="B6" i="15"/>
  <c r="D21" i="15" s="1"/>
  <c r="D2" i="15"/>
  <c r="K1" i="15"/>
  <c r="L128" i="15" s="1"/>
  <c r="G124" i="14"/>
  <c r="J117" i="14"/>
  <c r="L100" i="14"/>
  <c r="K99" i="14"/>
  <c r="J98" i="14"/>
  <c r="I97" i="14"/>
  <c r="H96" i="14"/>
  <c r="G95" i="14"/>
  <c r="F94" i="14"/>
  <c r="E93" i="14"/>
  <c r="D92" i="14"/>
  <c r="C91" i="14"/>
  <c r="U88" i="14"/>
  <c r="V87" i="14"/>
  <c r="X85" i="14"/>
  <c r="X83" i="14"/>
  <c r="Z82" i="14"/>
  <c r="T80" i="14"/>
  <c r="W79" i="14"/>
  <c r="H76" i="14"/>
  <c r="L66" i="14"/>
  <c r="K66" i="14"/>
  <c r="O65" i="14"/>
  <c r="O64" i="14"/>
  <c r="O63" i="14"/>
  <c r="H63" i="14"/>
  <c r="O62" i="14"/>
  <c r="O61" i="14"/>
  <c r="H61" i="14"/>
  <c r="O60" i="14"/>
  <c r="O59" i="14"/>
  <c r="O58" i="14"/>
  <c r="O57" i="14"/>
  <c r="H57" i="14"/>
  <c r="O56" i="14"/>
  <c r="O55" i="14"/>
  <c r="H55" i="14"/>
  <c r="A55" i="14"/>
  <c r="D55" i="14" s="1"/>
  <c r="O54" i="14"/>
  <c r="O53" i="14"/>
  <c r="H53" i="14"/>
  <c r="A53" i="14"/>
  <c r="D53" i="14" s="1"/>
  <c r="O52" i="14"/>
  <c r="H52" i="14"/>
  <c r="O51" i="14"/>
  <c r="H51" i="14"/>
  <c r="O50" i="14"/>
  <c r="A50" i="14"/>
  <c r="D50" i="14" s="1"/>
  <c r="O49" i="14"/>
  <c r="A49" i="14"/>
  <c r="D49" i="14" s="1"/>
  <c r="O48" i="14"/>
  <c r="O47" i="14"/>
  <c r="H47" i="14"/>
  <c r="O46" i="14"/>
  <c r="H46" i="14"/>
  <c r="O45" i="14"/>
  <c r="H45" i="14"/>
  <c r="A45" i="14"/>
  <c r="D45" i="14" s="1"/>
  <c r="O44" i="14"/>
  <c r="O43" i="14"/>
  <c r="A43" i="14"/>
  <c r="D43" i="14" s="1"/>
  <c r="O42" i="14"/>
  <c r="O41" i="14"/>
  <c r="H41" i="14"/>
  <c r="O40" i="14"/>
  <c r="O39" i="14"/>
  <c r="H39" i="14"/>
  <c r="A39" i="14"/>
  <c r="D39" i="14" s="1"/>
  <c r="O38" i="14"/>
  <c r="O37" i="14"/>
  <c r="H37" i="14"/>
  <c r="O36" i="14"/>
  <c r="H36" i="14"/>
  <c r="A36" i="14"/>
  <c r="D36" i="14" s="1"/>
  <c r="O35" i="14"/>
  <c r="H35" i="14"/>
  <c r="O34" i="14"/>
  <c r="A34" i="14"/>
  <c r="D34" i="14" s="1"/>
  <c r="O33" i="14"/>
  <c r="A33" i="14"/>
  <c r="D33" i="14" s="1"/>
  <c r="O32" i="14"/>
  <c r="H32" i="14"/>
  <c r="O31" i="14"/>
  <c r="H31" i="14"/>
  <c r="O30" i="14"/>
  <c r="H30" i="14"/>
  <c r="A30" i="14"/>
  <c r="D30" i="14" s="1"/>
  <c r="O29" i="14"/>
  <c r="H29" i="14"/>
  <c r="O28" i="14"/>
  <c r="O27" i="14"/>
  <c r="O26" i="14"/>
  <c r="O25" i="14"/>
  <c r="O24" i="14"/>
  <c r="O23" i="14"/>
  <c r="O22" i="14"/>
  <c r="H22" i="14"/>
  <c r="O21" i="14"/>
  <c r="A21" i="14"/>
  <c r="O17" i="14"/>
  <c r="K17" i="14"/>
  <c r="G15" i="14"/>
  <c r="B15" i="14"/>
  <c r="H56" i="14" s="1"/>
  <c r="G14" i="14"/>
  <c r="B14" i="14"/>
  <c r="H49" i="14" s="1"/>
  <c r="G13" i="14"/>
  <c r="B13" i="14"/>
  <c r="H33" i="14" s="1"/>
  <c r="G12" i="14"/>
  <c r="B12" i="14"/>
  <c r="H26" i="14" s="1"/>
  <c r="G11" i="14"/>
  <c r="B11" i="14"/>
  <c r="H40" i="14" s="1"/>
  <c r="G10" i="14"/>
  <c r="B10" i="14"/>
  <c r="H24" i="14" s="1"/>
  <c r="G9" i="14"/>
  <c r="B9" i="14"/>
  <c r="H23" i="14" s="1"/>
  <c r="G8" i="14"/>
  <c r="B8" i="14"/>
  <c r="H28" i="14" s="1"/>
  <c r="G7" i="14"/>
  <c r="B7" i="14"/>
  <c r="H21" i="14" s="1"/>
  <c r="G6" i="14"/>
  <c r="B6" i="14"/>
  <c r="C77" i="14" s="1" a="1"/>
  <c r="D2" i="14"/>
  <c r="K1" i="14"/>
  <c r="L128" i="14" s="1"/>
  <c r="L100" i="13"/>
  <c r="K99" i="13"/>
  <c r="J98" i="13"/>
  <c r="I97" i="13"/>
  <c r="H96" i="13"/>
  <c r="G95" i="13"/>
  <c r="F94" i="13"/>
  <c r="E93" i="13"/>
  <c r="D92" i="13"/>
  <c r="C91" i="13"/>
  <c r="T84" i="13"/>
  <c r="U81" i="13"/>
  <c r="H76" i="13"/>
  <c r="L66" i="13"/>
  <c r="K66" i="13"/>
  <c r="O65" i="13"/>
  <c r="O64" i="13"/>
  <c r="O63" i="13"/>
  <c r="O62" i="13"/>
  <c r="O61" i="13"/>
  <c r="H61" i="13"/>
  <c r="A61" i="13"/>
  <c r="D61" i="13" s="1"/>
  <c r="O60" i="13"/>
  <c r="O59" i="13"/>
  <c r="O58" i="13"/>
  <c r="O57" i="13"/>
  <c r="O56" i="13"/>
  <c r="O55" i="13"/>
  <c r="O54" i="13"/>
  <c r="A54" i="13"/>
  <c r="D54" i="13" s="1"/>
  <c r="O53" i="13"/>
  <c r="O52" i="13"/>
  <c r="O51" i="13"/>
  <c r="O50" i="13"/>
  <c r="O49" i="13"/>
  <c r="O48" i="13"/>
  <c r="H48" i="13"/>
  <c r="A48" i="13"/>
  <c r="D48" i="13" s="1"/>
  <c r="O47" i="13"/>
  <c r="O46" i="13"/>
  <c r="O45" i="13"/>
  <c r="O44" i="13"/>
  <c r="O43" i="13"/>
  <c r="A43" i="13"/>
  <c r="D43" i="13" s="1"/>
  <c r="O42" i="13"/>
  <c r="O41" i="13"/>
  <c r="O40" i="13"/>
  <c r="O39" i="13"/>
  <c r="O38" i="13"/>
  <c r="H38" i="13"/>
  <c r="O37" i="13"/>
  <c r="O36" i="13"/>
  <c r="A36" i="13"/>
  <c r="D36" i="13" s="1"/>
  <c r="O35" i="13"/>
  <c r="O34" i="13"/>
  <c r="H34" i="13"/>
  <c r="O33" i="13"/>
  <c r="O32" i="13"/>
  <c r="O31" i="13"/>
  <c r="O30" i="13"/>
  <c r="O29" i="13"/>
  <c r="H29" i="13"/>
  <c r="O28" i="13"/>
  <c r="H28" i="13"/>
  <c r="O27" i="13"/>
  <c r="H27" i="13"/>
  <c r="A27" i="13"/>
  <c r="D27" i="13" s="1"/>
  <c r="O26" i="13"/>
  <c r="O25" i="13"/>
  <c r="O24" i="13"/>
  <c r="O23" i="13"/>
  <c r="O22" i="13"/>
  <c r="H22" i="13"/>
  <c r="O21" i="13"/>
  <c r="O17" i="13"/>
  <c r="K17" i="13"/>
  <c r="G15" i="13"/>
  <c r="B15" i="13"/>
  <c r="H64" i="13" s="1"/>
  <c r="G14" i="13"/>
  <c r="B14" i="13"/>
  <c r="H63" i="13" s="1"/>
  <c r="G13" i="13"/>
  <c r="B13" i="13"/>
  <c r="H45" i="13" s="1"/>
  <c r="G12" i="13"/>
  <c r="B12" i="13"/>
  <c r="H26" i="13" s="1"/>
  <c r="G11" i="13"/>
  <c r="B11" i="13"/>
  <c r="G10" i="13"/>
  <c r="B10" i="13"/>
  <c r="H24" i="13" s="1"/>
  <c r="G9" i="13"/>
  <c r="B9" i="13"/>
  <c r="H23" i="13" s="1"/>
  <c r="G8" i="13"/>
  <c r="B8" i="13"/>
  <c r="G7" i="13"/>
  <c r="B7" i="13"/>
  <c r="H21" i="13" s="1"/>
  <c r="G6" i="13"/>
  <c r="B6" i="13"/>
  <c r="D2" i="13"/>
  <c r="K1" i="13"/>
  <c r="K127" i="13" s="1"/>
  <c r="L129" i="12"/>
  <c r="I129" i="12"/>
  <c r="I126" i="12"/>
  <c r="K120" i="12"/>
  <c r="K117" i="12"/>
  <c r="H115" i="12"/>
  <c r="L114" i="12"/>
  <c r="L103" i="12" s="1"/>
  <c r="L100" i="12"/>
  <c r="K99" i="12"/>
  <c r="J98" i="12"/>
  <c r="I97" i="12"/>
  <c r="H96" i="12"/>
  <c r="G95" i="12"/>
  <c r="F94" i="12"/>
  <c r="E93" i="12"/>
  <c r="D92" i="12"/>
  <c r="C91" i="12"/>
  <c r="W89" i="12"/>
  <c r="V87" i="12"/>
  <c r="T86" i="12"/>
  <c r="U84" i="12"/>
  <c r="R84" i="12"/>
  <c r="V83" i="12"/>
  <c r="W79" i="12"/>
  <c r="H76" i="12"/>
  <c r="L66" i="12"/>
  <c r="K66" i="12"/>
  <c r="O65" i="12"/>
  <c r="O64" i="12"/>
  <c r="O63" i="12"/>
  <c r="H63" i="12"/>
  <c r="O62" i="12"/>
  <c r="O61" i="12"/>
  <c r="O60" i="12"/>
  <c r="O59" i="12"/>
  <c r="O58" i="12"/>
  <c r="O57" i="12"/>
  <c r="O56" i="12"/>
  <c r="O55" i="12"/>
  <c r="O54" i="12"/>
  <c r="H54" i="12"/>
  <c r="O53" i="12"/>
  <c r="H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H38" i="12"/>
  <c r="O37" i="12"/>
  <c r="H37" i="12"/>
  <c r="O36" i="12"/>
  <c r="H36" i="12"/>
  <c r="A36" i="12"/>
  <c r="D36" i="12" s="1"/>
  <c r="O35" i="12"/>
  <c r="A35" i="12"/>
  <c r="D35" i="12" s="1"/>
  <c r="O34" i="12"/>
  <c r="O33" i="12"/>
  <c r="O32" i="12"/>
  <c r="O31" i="12"/>
  <c r="H31" i="12"/>
  <c r="O30" i="12"/>
  <c r="O29" i="12"/>
  <c r="O28" i="12"/>
  <c r="O27" i="12"/>
  <c r="O26" i="12"/>
  <c r="O25" i="12"/>
  <c r="O24" i="12"/>
  <c r="O23" i="12"/>
  <c r="O22" i="12"/>
  <c r="H22" i="12"/>
  <c r="O21" i="12"/>
  <c r="O17" i="12"/>
  <c r="K17" i="12"/>
  <c r="G15" i="12"/>
  <c r="B15" i="12"/>
  <c r="G14" i="12"/>
  <c r="B14" i="12"/>
  <c r="H49" i="12" s="1"/>
  <c r="G13" i="12"/>
  <c r="B13" i="12"/>
  <c r="H47" i="12" s="1"/>
  <c r="G12" i="12"/>
  <c r="B12" i="12"/>
  <c r="H26" i="12" s="1"/>
  <c r="G11" i="12"/>
  <c r="B11" i="12"/>
  <c r="H40" i="12" s="1"/>
  <c r="G10" i="12"/>
  <c r="B10" i="12"/>
  <c r="H24" i="12" s="1"/>
  <c r="G9" i="12"/>
  <c r="B9" i="12"/>
  <c r="G8" i="12"/>
  <c r="B8" i="12"/>
  <c r="H28" i="12" s="1"/>
  <c r="G7" i="12"/>
  <c r="B7" i="12"/>
  <c r="H21" i="12" s="1"/>
  <c r="G6" i="12"/>
  <c r="B6" i="12"/>
  <c r="D21" i="12" s="1"/>
  <c r="D2" i="12"/>
  <c r="K1" i="12"/>
  <c r="L128" i="12" s="1"/>
  <c r="L100" i="11"/>
  <c r="K99" i="11"/>
  <c r="J98" i="11"/>
  <c r="I97" i="11"/>
  <c r="H96" i="11"/>
  <c r="G95" i="11"/>
  <c r="F94" i="11"/>
  <c r="E93" i="11"/>
  <c r="D92" i="11"/>
  <c r="C91" i="11"/>
  <c r="S84" i="11"/>
  <c r="H76" i="11"/>
  <c r="L66" i="11"/>
  <c r="K66" i="11"/>
  <c r="O65" i="11"/>
  <c r="O64" i="11"/>
  <c r="O63" i="11"/>
  <c r="O62" i="11"/>
  <c r="O61" i="11"/>
  <c r="O60" i="11"/>
  <c r="O59" i="11"/>
  <c r="H59" i="11"/>
  <c r="O58" i="11"/>
  <c r="O57" i="11"/>
  <c r="O56" i="11"/>
  <c r="O55" i="11"/>
  <c r="O54" i="11"/>
  <c r="O53" i="11"/>
  <c r="O52" i="11"/>
  <c r="O51" i="11"/>
  <c r="H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H38" i="11"/>
  <c r="O37" i="11"/>
  <c r="O36" i="11"/>
  <c r="H36" i="11"/>
  <c r="O35" i="11"/>
  <c r="H35" i="11"/>
  <c r="O34" i="11"/>
  <c r="H34" i="11"/>
  <c r="O33" i="11"/>
  <c r="O32" i="11"/>
  <c r="O31" i="11"/>
  <c r="O30" i="11"/>
  <c r="O29" i="11"/>
  <c r="H29" i="11"/>
  <c r="O28" i="11"/>
  <c r="O27" i="11"/>
  <c r="H27" i="11"/>
  <c r="O26" i="11"/>
  <c r="O25" i="11"/>
  <c r="A25" i="11"/>
  <c r="D25" i="11" s="1"/>
  <c r="O24" i="11"/>
  <c r="O23" i="11"/>
  <c r="O22" i="11"/>
  <c r="O21" i="11"/>
  <c r="O17" i="11"/>
  <c r="K17" i="11"/>
  <c r="G15" i="11"/>
  <c r="B15" i="11"/>
  <c r="G14" i="11"/>
  <c r="B14" i="11"/>
  <c r="H63" i="11" s="1"/>
  <c r="G13" i="11"/>
  <c r="B13" i="11"/>
  <c r="H47" i="11" s="1"/>
  <c r="G12" i="11"/>
  <c r="B12" i="11"/>
  <c r="H26" i="11" s="1"/>
  <c r="G11" i="11"/>
  <c r="B11" i="11"/>
  <c r="G10" i="11"/>
  <c r="B10" i="11"/>
  <c r="H24" i="11" s="1"/>
  <c r="G9" i="11"/>
  <c r="B9" i="11"/>
  <c r="H23" i="11" s="1"/>
  <c r="G8" i="11"/>
  <c r="B8" i="11"/>
  <c r="H28" i="11" s="1"/>
  <c r="G7" i="11"/>
  <c r="B7" i="11"/>
  <c r="H21" i="11" s="1"/>
  <c r="G6" i="11"/>
  <c r="B6" i="11"/>
  <c r="D21" i="11" s="1"/>
  <c r="D2" i="11"/>
  <c r="K1" i="11"/>
  <c r="F126" i="11" s="1"/>
  <c r="L100" i="10"/>
  <c r="K99" i="10"/>
  <c r="J98" i="10"/>
  <c r="I97" i="10"/>
  <c r="H96" i="10"/>
  <c r="G95" i="10"/>
  <c r="F94" i="10"/>
  <c r="E93" i="10"/>
  <c r="D92" i="10"/>
  <c r="C91" i="10"/>
  <c r="H76" i="10"/>
  <c r="L66" i="10"/>
  <c r="K66" i="10"/>
  <c r="O65" i="10"/>
  <c r="O64" i="10"/>
  <c r="O63" i="10"/>
  <c r="H63" i="10"/>
  <c r="O62" i="10"/>
  <c r="O61" i="10"/>
  <c r="H61" i="10"/>
  <c r="O60" i="10"/>
  <c r="H60" i="10"/>
  <c r="O59" i="10"/>
  <c r="H59" i="10"/>
  <c r="O58" i="10"/>
  <c r="O57" i="10"/>
  <c r="O56" i="10"/>
  <c r="O55" i="10"/>
  <c r="O54" i="10"/>
  <c r="O53" i="10"/>
  <c r="H53" i="10"/>
  <c r="O52" i="10"/>
  <c r="H52" i="10"/>
  <c r="O51" i="10"/>
  <c r="O50" i="10"/>
  <c r="O49" i="10"/>
  <c r="O48" i="10"/>
  <c r="O47" i="10"/>
  <c r="H47" i="10"/>
  <c r="O46" i="10"/>
  <c r="O45" i="10"/>
  <c r="H45" i="10"/>
  <c r="O44" i="10"/>
  <c r="H44" i="10"/>
  <c r="O43" i="10"/>
  <c r="H43" i="10"/>
  <c r="O42" i="10"/>
  <c r="O41" i="10"/>
  <c r="O40" i="10"/>
  <c r="O39" i="10"/>
  <c r="O38" i="10"/>
  <c r="O37" i="10"/>
  <c r="H37" i="10"/>
  <c r="O36" i="10"/>
  <c r="H36" i="10"/>
  <c r="O35" i="10"/>
  <c r="O34" i="10"/>
  <c r="O33" i="10"/>
  <c r="O32" i="10"/>
  <c r="O31" i="10"/>
  <c r="H31" i="10"/>
  <c r="O30" i="10"/>
  <c r="O29" i="10"/>
  <c r="H29" i="10"/>
  <c r="O28" i="10"/>
  <c r="O27" i="10"/>
  <c r="H27" i="10"/>
  <c r="O26" i="10"/>
  <c r="O25" i="10"/>
  <c r="O24" i="10"/>
  <c r="O23" i="10"/>
  <c r="O22" i="10"/>
  <c r="H22" i="10"/>
  <c r="O21" i="10"/>
  <c r="O17" i="10"/>
  <c r="K17" i="10"/>
  <c r="G15" i="10"/>
  <c r="B15" i="10"/>
  <c r="H56" i="10" s="1"/>
  <c r="G14" i="10"/>
  <c r="B14" i="10"/>
  <c r="H49" i="10" s="1"/>
  <c r="G13" i="10"/>
  <c r="B13" i="10"/>
  <c r="H33" i="10" s="1"/>
  <c r="G12" i="10"/>
  <c r="B12" i="10"/>
  <c r="H26" i="10" s="1"/>
  <c r="G11" i="10"/>
  <c r="B11" i="10"/>
  <c r="H40" i="10" s="1"/>
  <c r="G10" i="10"/>
  <c r="B10" i="10"/>
  <c r="H24" i="10" s="1"/>
  <c r="G9" i="10"/>
  <c r="B9" i="10"/>
  <c r="H23" i="10" s="1"/>
  <c r="G8" i="10"/>
  <c r="B8" i="10"/>
  <c r="H28" i="10" s="1"/>
  <c r="G7" i="10"/>
  <c r="B7" i="10"/>
  <c r="H21" i="10" s="1"/>
  <c r="G6" i="10"/>
  <c r="B6" i="10"/>
  <c r="D21" i="10" s="1"/>
  <c r="D2" i="10"/>
  <c r="K1" i="10"/>
  <c r="I129" i="10" s="1"/>
  <c r="I125" i="9"/>
  <c r="F115" i="9"/>
  <c r="G113" i="9"/>
  <c r="L100" i="9"/>
  <c r="K99" i="9"/>
  <c r="J98" i="9"/>
  <c r="I97" i="9"/>
  <c r="H96" i="9"/>
  <c r="G95" i="9"/>
  <c r="F94" i="9"/>
  <c r="E93" i="9"/>
  <c r="D92" i="9"/>
  <c r="C91" i="9"/>
  <c r="T84" i="9"/>
  <c r="Y79" i="9"/>
  <c r="H76" i="9"/>
  <c r="L66" i="9"/>
  <c r="K66" i="9"/>
  <c r="O65" i="9"/>
  <c r="O64" i="9"/>
  <c r="O63" i="9"/>
  <c r="O62" i="9"/>
  <c r="O61" i="9"/>
  <c r="H61" i="9"/>
  <c r="O60" i="9"/>
  <c r="O59" i="9"/>
  <c r="O58" i="9"/>
  <c r="O57" i="9"/>
  <c r="O56" i="9"/>
  <c r="O55" i="9"/>
  <c r="O54" i="9"/>
  <c r="H54" i="9"/>
  <c r="O53" i="9"/>
  <c r="H53" i="9"/>
  <c r="O52" i="9"/>
  <c r="H52" i="9"/>
  <c r="O51" i="9"/>
  <c r="O50" i="9"/>
  <c r="O49" i="9"/>
  <c r="O48" i="9"/>
  <c r="O47" i="9"/>
  <c r="O46" i="9"/>
  <c r="H46" i="9"/>
  <c r="O45" i="9"/>
  <c r="H45" i="9"/>
  <c r="O44" i="9"/>
  <c r="O43" i="9"/>
  <c r="A43" i="9"/>
  <c r="D43" i="9" s="1"/>
  <c r="O42" i="9"/>
  <c r="O41" i="9"/>
  <c r="O40" i="9"/>
  <c r="H40" i="9"/>
  <c r="O39" i="9"/>
  <c r="O38" i="9"/>
  <c r="H38" i="9"/>
  <c r="O37" i="9"/>
  <c r="H37" i="9"/>
  <c r="O36" i="9"/>
  <c r="O35" i="9"/>
  <c r="O34" i="9"/>
  <c r="A34" i="9"/>
  <c r="D34" i="9" s="1"/>
  <c r="O33" i="9"/>
  <c r="O32" i="9"/>
  <c r="O31" i="9"/>
  <c r="O30" i="9"/>
  <c r="H30" i="9"/>
  <c r="O29" i="9"/>
  <c r="H29" i="9"/>
  <c r="O28" i="9"/>
  <c r="O27" i="9"/>
  <c r="O26" i="9"/>
  <c r="O25" i="9"/>
  <c r="O24" i="9"/>
  <c r="H24" i="9"/>
  <c r="O23" i="9"/>
  <c r="O22" i="9"/>
  <c r="O21" i="9"/>
  <c r="O17" i="9"/>
  <c r="K17" i="9"/>
  <c r="G15" i="9"/>
  <c r="B15" i="9"/>
  <c r="H56" i="9" s="1"/>
  <c r="G14" i="9"/>
  <c r="B14" i="9"/>
  <c r="H49" i="9" s="1"/>
  <c r="G13" i="9"/>
  <c r="B13" i="9"/>
  <c r="G12" i="9"/>
  <c r="B12" i="9"/>
  <c r="H26" i="9" s="1"/>
  <c r="G11" i="9"/>
  <c r="B11" i="9"/>
  <c r="G10" i="9"/>
  <c r="B10" i="9"/>
  <c r="H35" i="9" s="1"/>
  <c r="G9" i="9"/>
  <c r="B9" i="9"/>
  <c r="G8" i="9"/>
  <c r="B8" i="9"/>
  <c r="H28" i="9" s="1"/>
  <c r="G7" i="9"/>
  <c r="B7" i="9"/>
  <c r="H21" i="9" s="1"/>
  <c r="G6" i="9"/>
  <c r="B6" i="9"/>
  <c r="D21" i="9" s="1"/>
  <c r="D2" i="9"/>
  <c r="K1" i="9"/>
  <c r="K128" i="9" s="1"/>
  <c r="L100" i="8"/>
  <c r="K99" i="8"/>
  <c r="J98" i="8"/>
  <c r="I97" i="8"/>
  <c r="H96" i="8"/>
  <c r="G95" i="8"/>
  <c r="F94" i="8"/>
  <c r="E93" i="8"/>
  <c r="D92" i="8"/>
  <c r="C91" i="8"/>
  <c r="T89" i="8"/>
  <c r="V87" i="8"/>
  <c r="H76" i="8"/>
  <c r="L66" i="8"/>
  <c r="K66" i="8"/>
  <c r="O65" i="8"/>
  <c r="O64" i="8"/>
  <c r="O63" i="8"/>
  <c r="H63" i="8"/>
  <c r="O62" i="8"/>
  <c r="O61" i="8"/>
  <c r="O60" i="8"/>
  <c r="O59" i="8"/>
  <c r="H59" i="8"/>
  <c r="O58" i="8"/>
  <c r="O57" i="8"/>
  <c r="O56" i="8"/>
  <c r="O55" i="8"/>
  <c r="O54" i="8"/>
  <c r="O53" i="8"/>
  <c r="O52" i="8"/>
  <c r="O51" i="8"/>
  <c r="H51" i="8"/>
  <c r="O50" i="8"/>
  <c r="O49" i="8"/>
  <c r="O48" i="8"/>
  <c r="O47" i="8"/>
  <c r="O46" i="8"/>
  <c r="H46" i="8"/>
  <c r="O45" i="8"/>
  <c r="O44" i="8"/>
  <c r="A44" i="8"/>
  <c r="D44" i="8" s="1"/>
  <c r="O43" i="8"/>
  <c r="O42" i="8"/>
  <c r="O41" i="8"/>
  <c r="O40" i="8"/>
  <c r="O39" i="8"/>
  <c r="H39" i="8"/>
  <c r="O38" i="8"/>
  <c r="O37" i="8"/>
  <c r="A37" i="8"/>
  <c r="D37" i="8" s="1"/>
  <c r="O36" i="8"/>
  <c r="O35" i="8"/>
  <c r="H35" i="8"/>
  <c r="O34" i="8"/>
  <c r="O33" i="8"/>
  <c r="O32" i="8"/>
  <c r="H32" i="8"/>
  <c r="O31" i="8"/>
  <c r="H31" i="8"/>
  <c r="O30" i="8"/>
  <c r="H30" i="8"/>
  <c r="O29" i="8"/>
  <c r="A29" i="8"/>
  <c r="D29" i="8" s="1"/>
  <c r="O28" i="8"/>
  <c r="O27" i="8"/>
  <c r="O26" i="8"/>
  <c r="O25" i="8"/>
  <c r="O24" i="8"/>
  <c r="H24" i="8"/>
  <c r="O23" i="8"/>
  <c r="O22" i="8"/>
  <c r="O21" i="8"/>
  <c r="A21" i="8"/>
  <c r="O17" i="8"/>
  <c r="K17" i="8"/>
  <c r="G15" i="8"/>
  <c r="B15" i="8"/>
  <c r="G14" i="8"/>
  <c r="B14" i="8"/>
  <c r="H57" i="8" s="1"/>
  <c r="G13" i="8"/>
  <c r="B13" i="8"/>
  <c r="G12" i="8"/>
  <c r="B12" i="8"/>
  <c r="H41" i="8" s="1"/>
  <c r="G11" i="8"/>
  <c r="B11" i="8"/>
  <c r="G10" i="8"/>
  <c r="B10" i="8"/>
  <c r="G9" i="8"/>
  <c r="B9" i="8"/>
  <c r="G8" i="8"/>
  <c r="B8" i="8"/>
  <c r="H28" i="8" s="1"/>
  <c r="G7" i="8"/>
  <c r="B7" i="8"/>
  <c r="H21" i="8" s="1"/>
  <c r="G6" i="8"/>
  <c r="B6" i="8"/>
  <c r="D21" i="8" s="1"/>
  <c r="D2" i="8"/>
  <c r="K1" i="8"/>
  <c r="I124" i="8" s="1"/>
  <c r="L100" i="7"/>
  <c r="K99" i="7"/>
  <c r="J98" i="7"/>
  <c r="I97" i="7"/>
  <c r="H96" i="7"/>
  <c r="G95" i="7"/>
  <c r="F94" i="7"/>
  <c r="E93" i="7"/>
  <c r="D92" i="7"/>
  <c r="C91" i="7"/>
  <c r="H76" i="7"/>
  <c r="L66" i="7"/>
  <c r="K66" i="7"/>
  <c r="O65" i="7"/>
  <c r="H65" i="7"/>
  <c r="O64" i="7"/>
  <c r="A64" i="7"/>
  <c r="D64" i="7" s="1"/>
  <c r="O63" i="7"/>
  <c r="O62" i="7"/>
  <c r="O61" i="7"/>
  <c r="O60" i="7"/>
  <c r="O59" i="7"/>
  <c r="O58" i="7"/>
  <c r="H58" i="7"/>
  <c r="O57" i="7"/>
  <c r="O56" i="7"/>
  <c r="O55" i="7"/>
  <c r="A55" i="7"/>
  <c r="D55" i="7" s="1"/>
  <c r="O54" i="7"/>
  <c r="O53" i="7"/>
  <c r="O52" i="7"/>
  <c r="O51" i="7"/>
  <c r="O50" i="7"/>
  <c r="H50" i="7"/>
  <c r="O49" i="7"/>
  <c r="O48" i="7"/>
  <c r="O47" i="7"/>
  <c r="O46" i="7"/>
  <c r="O45" i="7"/>
  <c r="O44" i="7"/>
  <c r="O43" i="7"/>
  <c r="O42" i="7"/>
  <c r="H42" i="7"/>
  <c r="O41" i="7"/>
  <c r="O40" i="7"/>
  <c r="O39" i="7"/>
  <c r="O38" i="7"/>
  <c r="O37" i="7"/>
  <c r="O36" i="7"/>
  <c r="O35" i="7"/>
  <c r="O34" i="7"/>
  <c r="H34" i="7"/>
  <c r="O33" i="7"/>
  <c r="H33" i="7"/>
  <c r="O32" i="7"/>
  <c r="O31" i="7"/>
  <c r="O30" i="7"/>
  <c r="O29" i="7"/>
  <c r="O28" i="7"/>
  <c r="O27" i="7"/>
  <c r="A27" i="7"/>
  <c r="D27" i="7" s="1"/>
  <c r="O26" i="7"/>
  <c r="H26" i="7"/>
  <c r="O25" i="7"/>
  <c r="H25" i="7"/>
  <c r="O24" i="7"/>
  <c r="O23" i="7"/>
  <c r="O22" i="7"/>
  <c r="O21" i="7"/>
  <c r="O17" i="7"/>
  <c r="K17" i="7"/>
  <c r="G15" i="7"/>
  <c r="B15" i="7"/>
  <c r="H60" i="7" s="1"/>
  <c r="G14" i="7"/>
  <c r="B14" i="7"/>
  <c r="G13" i="7"/>
  <c r="B13" i="7"/>
  <c r="H48" i="7" s="1"/>
  <c r="G12" i="7"/>
  <c r="B12" i="7"/>
  <c r="H44" i="7" s="1"/>
  <c r="G11" i="7"/>
  <c r="B11" i="7"/>
  <c r="H43" i="7" s="1"/>
  <c r="G10" i="7"/>
  <c r="B10" i="7"/>
  <c r="G9" i="7"/>
  <c r="B9" i="7"/>
  <c r="H23" i="7" s="1"/>
  <c r="G8" i="7"/>
  <c r="B8" i="7"/>
  <c r="H28" i="7" s="1"/>
  <c r="G7" i="7"/>
  <c r="B7" i="7"/>
  <c r="H21" i="7" s="1"/>
  <c r="G6" i="7"/>
  <c r="B6" i="7"/>
  <c r="D2" i="7"/>
  <c r="K1" i="7"/>
  <c r="L130" i="7" s="1"/>
  <c r="I113" i="6"/>
  <c r="L100" i="6"/>
  <c r="K99" i="6"/>
  <c r="J98" i="6"/>
  <c r="I97" i="6"/>
  <c r="H96" i="6"/>
  <c r="G95" i="6"/>
  <c r="F94" i="6"/>
  <c r="E93" i="6"/>
  <c r="D92" i="6"/>
  <c r="C91" i="6"/>
  <c r="R87" i="6"/>
  <c r="Z85" i="6"/>
  <c r="W80" i="6"/>
  <c r="Z79" i="6"/>
  <c r="H76" i="6"/>
  <c r="L66" i="6"/>
  <c r="K66" i="6"/>
  <c r="O65" i="6"/>
  <c r="O64" i="6"/>
  <c r="O63" i="6"/>
  <c r="O62" i="6"/>
  <c r="O61" i="6"/>
  <c r="O60" i="6"/>
  <c r="A60" i="6"/>
  <c r="D60" i="6" s="1"/>
  <c r="O59" i="6"/>
  <c r="O58" i="6"/>
  <c r="H58" i="6"/>
  <c r="O57" i="6"/>
  <c r="O56" i="6"/>
  <c r="O55" i="6"/>
  <c r="O54" i="6"/>
  <c r="O53" i="6"/>
  <c r="O52" i="6"/>
  <c r="A52" i="6"/>
  <c r="D52" i="6" s="1"/>
  <c r="O51" i="6"/>
  <c r="H51" i="6"/>
  <c r="O50" i="6"/>
  <c r="H50" i="6"/>
  <c r="O49" i="6"/>
  <c r="O48" i="6"/>
  <c r="O47" i="6"/>
  <c r="O46" i="6"/>
  <c r="O45" i="6"/>
  <c r="O44" i="6"/>
  <c r="O43" i="6"/>
  <c r="H43" i="6"/>
  <c r="O42" i="6"/>
  <c r="H42" i="6"/>
  <c r="O41" i="6"/>
  <c r="O40" i="6"/>
  <c r="O39" i="6"/>
  <c r="O38" i="6"/>
  <c r="O37" i="6"/>
  <c r="O36" i="6"/>
  <c r="A36" i="6"/>
  <c r="D36" i="6" s="1"/>
  <c r="O35" i="6"/>
  <c r="H35" i="6"/>
  <c r="O34" i="6"/>
  <c r="H34" i="6"/>
  <c r="O33" i="6"/>
  <c r="O32" i="6"/>
  <c r="O31" i="6"/>
  <c r="O30" i="6"/>
  <c r="O29" i="6"/>
  <c r="A29" i="6"/>
  <c r="D29" i="6" s="1"/>
  <c r="O28" i="6"/>
  <c r="O27" i="6"/>
  <c r="H27" i="6"/>
  <c r="O26" i="6"/>
  <c r="O25" i="6"/>
  <c r="O24" i="6"/>
  <c r="O23" i="6"/>
  <c r="O22" i="6"/>
  <c r="O21" i="6"/>
  <c r="A21" i="6"/>
  <c r="C80" i="6" s="1"/>
  <c r="C92" i="6" s="1"/>
  <c r="O17" i="6"/>
  <c r="K17" i="6"/>
  <c r="G15" i="6"/>
  <c r="B15" i="6"/>
  <c r="H60" i="6" s="1"/>
  <c r="G14" i="6"/>
  <c r="B14" i="6"/>
  <c r="H53" i="6" s="1"/>
  <c r="G13" i="6"/>
  <c r="B13" i="6"/>
  <c r="H48" i="6" s="1"/>
  <c r="G12" i="6"/>
  <c r="B12" i="6"/>
  <c r="G11" i="6"/>
  <c r="B11" i="6"/>
  <c r="H25" i="6" s="1"/>
  <c r="G10" i="6"/>
  <c r="B10" i="6"/>
  <c r="H30" i="6" s="1"/>
  <c r="G9" i="6"/>
  <c r="B9" i="6"/>
  <c r="H23" i="6" s="1"/>
  <c r="G8" i="6"/>
  <c r="B8" i="6"/>
  <c r="G7" i="6"/>
  <c r="B7" i="6"/>
  <c r="H21" i="6" s="1"/>
  <c r="G6" i="6"/>
  <c r="B6" i="6"/>
  <c r="D21" i="6" s="1"/>
  <c r="D2" i="6"/>
  <c r="K1" i="6"/>
  <c r="H128" i="6" s="1"/>
  <c r="L100" i="5"/>
  <c r="K99" i="5"/>
  <c r="J98" i="5"/>
  <c r="I97" i="5"/>
  <c r="H96" i="5"/>
  <c r="G95" i="5"/>
  <c r="F94" i="5"/>
  <c r="E93" i="5"/>
  <c r="D92" i="5"/>
  <c r="C91" i="5"/>
  <c r="H76" i="5"/>
  <c r="L66" i="5"/>
  <c r="K66" i="5"/>
  <c r="O65" i="5"/>
  <c r="O64" i="5"/>
  <c r="O63" i="5"/>
  <c r="O62" i="5"/>
  <c r="O61" i="5"/>
  <c r="O60" i="5"/>
  <c r="H60" i="5"/>
  <c r="O59" i="5"/>
  <c r="H59" i="5"/>
  <c r="O58" i="5"/>
  <c r="H58" i="5"/>
  <c r="O57" i="5"/>
  <c r="O56" i="5"/>
  <c r="O55" i="5"/>
  <c r="O54" i="5"/>
  <c r="O53" i="5"/>
  <c r="O52" i="5"/>
  <c r="H52" i="5"/>
  <c r="O51" i="5"/>
  <c r="H51" i="5"/>
  <c r="O50" i="5"/>
  <c r="H50" i="5"/>
  <c r="O49" i="5"/>
  <c r="O48" i="5"/>
  <c r="H48" i="5"/>
  <c r="O47" i="5"/>
  <c r="H47" i="5"/>
  <c r="O46" i="5"/>
  <c r="O45" i="5"/>
  <c r="O44" i="5"/>
  <c r="H44" i="5"/>
  <c r="O43" i="5"/>
  <c r="H43" i="5"/>
  <c r="O42" i="5"/>
  <c r="H42" i="5"/>
  <c r="O41" i="5"/>
  <c r="O40" i="5"/>
  <c r="O39" i="5"/>
  <c r="O38" i="5"/>
  <c r="O37" i="5"/>
  <c r="O36" i="5"/>
  <c r="H36" i="5"/>
  <c r="O35" i="5"/>
  <c r="H35" i="5"/>
  <c r="O34" i="5"/>
  <c r="H34" i="5"/>
  <c r="O33" i="5"/>
  <c r="O32" i="5"/>
  <c r="O31" i="5"/>
  <c r="H31" i="5"/>
  <c r="O30" i="5"/>
  <c r="O29" i="5"/>
  <c r="O28" i="5"/>
  <c r="O27" i="5"/>
  <c r="H27" i="5"/>
  <c r="O26" i="5"/>
  <c r="O25" i="5"/>
  <c r="O24" i="5"/>
  <c r="O23" i="5"/>
  <c r="H23" i="5"/>
  <c r="O22" i="5"/>
  <c r="O21" i="5"/>
  <c r="O17" i="5"/>
  <c r="K17" i="5"/>
  <c r="G15" i="5"/>
  <c r="B15" i="5"/>
  <c r="H62" i="5" s="1"/>
  <c r="G14" i="5"/>
  <c r="B14" i="5"/>
  <c r="H53" i="5" s="1"/>
  <c r="G13" i="5"/>
  <c r="B13" i="5"/>
  <c r="H45" i="5" s="1"/>
  <c r="G12" i="5"/>
  <c r="B12" i="5"/>
  <c r="H37" i="5" s="1"/>
  <c r="G11" i="5"/>
  <c r="B11" i="5"/>
  <c r="H25" i="5" s="1"/>
  <c r="G10" i="5"/>
  <c r="B10" i="5"/>
  <c r="H30" i="5" s="1"/>
  <c r="G9" i="5"/>
  <c r="B9" i="5"/>
  <c r="H29" i="5" s="1"/>
  <c r="G8" i="5"/>
  <c r="B8" i="5"/>
  <c r="H22" i="5" s="1"/>
  <c r="G7" i="5"/>
  <c r="B7" i="5"/>
  <c r="H21" i="5" s="1"/>
  <c r="G6" i="5"/>
  <c r="B6" i="5"/>
  <c r="D21" i="5" s="1"/>
  <c r="D2" i="5"/>
  <c r="K1" i="5"/>
  <c r="J130" i="5" s="1"/>
  <c r="L129" i="4"/>
  <c r="L100" i="4"/>
  <c r="K99" i="4"/>
  <c r="J98" i="4"/>
  <c r="I97" i="4"/>
  <c r="H96" i="4"/>
  <c r="G95" i="4"/>
  <c r="F94" i="4"/>
  <c r="E93" i="4"/>
  <c r="D92" i="4"/>
  <c r="C91" i="4"/>
  <c r="X84" i="4"/>
  <c r="V80" i="4"/>
  <c r="H76" i="4"/>
  <c r="L66" i="4"/>
  <c r="K66" i="4"/>
  <c r="O65" i="4"/>
  <c r="O64" i="4"/>
  <c r="O63" i="4"/>
  <c r="O62" i="4"/>
  <c r="O61" i="4"/>
  <c r="O60" i="4"/>
  <c r="H60" i="4"/>
  <c r="O59" i="4"/>
  <c r="O58" i="4"/>
  <c r="H58" i="4"/>
  <c r="O57" i="4"/>
  <c r="O56" i="4"/>
  <c r="H56" i="4"/>
  <c r="O55" i="4"/>
  <c r="O54" i="4"/>
  <c r="O53" i="4"/>
  <c r="H53" i="4"/>
  <c r="O52" i="4"/>
  <c r="H52" i="4"/>
  <c r="O51" i="4"/>
  <c r="O50" i="4"/>
  <c r="H50" i="4"/>
  <c r="O49" i="4"/>
  <c r="O48" i="4"/>
  <c r="H48" i="4"/>
  <c r="O47" i="4"/>
  <c r="O46" i="4"/>
  <c r="O45" i="4"/>
  <c r="H45" i="4"/>
  <c r="O44" i="4"/>
  <c r="O43" i="4"/>
  <c r="H43" i="4"/>
  <c r="O42" i="4"/>
  <c r="H42" i="4"/>
  <c r="O41" i="4"/>
  <c r="O40" i="4"/>
  <c r="H40" i="4"/>
  <c r="O39" i="4"/>
  <c r="O38" i="4"/>
  <c r="O37" i="4"/>
  <c r="H37" i="4"/>
  <c r="O36" i="4"/>
  <c r="H36" i="4"/>
  <c r="O35" i="4"/>
  <c r="O34" i="4"/>
  <c r="H34" i="4"/>
  <c r="O33" i="4"/>
  <c r="H33" i="4"/>
  <c r="O32" i="4"/>
  <c r="O31" i="4"/>
  <c r="H31" i="4"/>
  <c r="O30" i="4"/>
  <c r="O29" i="4"/>
  <c r="H29" i="4"/>
  <c r="O28" i="4"/>
  <c r="O27" i="4"/>
  <c r="H27" i="4"/>
  <c r="O26" i="4"/>
  <c r="H26" i="4"/>
  <c r="O25" i="4"/>
  <c r="H25" i="4"/>
  <c r="O24" i="4"/>
  <c r="O23" i="4"/>
  <c r="H23" i="4"/>
  <c r="O22" i="4"/>
  <c r="O21" i="4"/>
  <c r="H21" i="4"/>
  <c r="O17" i="4"/>
  <c r="K17" i="4"/>
  <c r="G15" i="4"/>
  <c r="B15" i="4"/>
  <c r="H62" i="4" s="1"/>
  <c r="G14" i="4"/>
  <c r="B14" i="4"/>
  <c r="H55" i="4" s="1"/>
  <c r="G13" i="4"/>
  <c r="B13" i="4"/>
  <c r="H38" i="4" s="1"/>
  <c r="G12" i="4"/>
  <c r="B12" i="4"/>
  <c r="H46" i="4" s="1"/>
  <c r="G11" i="4"/>
  <c r="B11" i="4"/>
  <c r="G10" i="4"/>
  <c r="B10" i="4"/>
  <c r="H30" i="4" s="1"/>
  <c r="G9" i="4"/>
  <c r="B9" i="4"/>
  <c r="G8" i="4"/>
  <c r="B8" i="4"/>
  <c r="H22" i="4" s="1"/>
  <c r="G7" i="4"/>
  <c r="B7" i="4"/>
  <c r="G6" i="4"/>
  <c r="B6" i="4"/>
  <c r="D21" i="4" s="1"/>
  <c r="D2" i="4"/>
  <c r="K1" i="4"/>
  <c r="A51" i="4" s="1"/>
  <c r="D51" i="4" s="1"/>
  <c r="K127" i="3"/>
  <c r="H116" i="3"/>
  <c r="G115" i="3"/>
  <c r="F113" i="3"/>
  <c r="L100" i="3"/>
  <c r="K99" i="3"/>
  <c r="J98" i="3"/>
  <c r="I97" i="3"/>
  <c r="H96" i="3"/>
  <c r="G95" i="3"/>
  <c r="F94" i="3"/>
  <c r="E93" i="3"/>
  <c r="D92" i="3"/>
  <c r="C91" i="3"/>
  <c r="X87" i="3"/>
  <c r="S86" i="3"/>
  <c r="T84" i="3"/>
  <c r="H76" i="3"/>
  <c r="L66" i="3"/>
  <c r="K66" i="3"/>
  <c r="O65" i="3"/>
  <c r="O64" i="3"/>
  <c r="O63" i="3"/>
  <c r="O62" i="3"/>
  <c r="H62" i="3"/>
  <c r="O61" i="3"/>
  <c r="H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H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H30" i="3"/>
  <c r="O29" i="3"/>
  <c r="O28" i="3"/>
  <c r="O27" i="3"/>
  <c r="O26" i="3"/>
  <c r="O25" i="3"/>
  <c r="O24" i="3"/>
  <c r="O23" i="3"/>
  <c r="O22" i="3"/>
  <c r="O21" i="3"/>
  <c r="O17" i="3"/>
  <c r="K17" i="3"/>
  <c r="G15" i="3"/>
  <c r="B15" i="3"/>
  <c r="H64" i="3" s="1"/>
  <c r="G14" i="3"/>
  <c r="B14" i="3"/>
  <c r="H55" i="3" s="1"/>
  <c r="G13" i="3"/>
  <c r="B13" i="3"/>
  <c r="H48" i="3" s="1"/>
  <c r="G12" i="3"/>
  <c r="B12" i="3"/>
  <c r="H32" i="3" s="1"/>
  <c r="G11" i="3"/>
  <c r="B11" i="3"/>
  <c r="H25" i="3" s="1"/>
  <c r="G10" i="3"/>
  <c r="B10" i="3"/>
  <c r="H39" i="3" s="1"/>
  <c r="G9" i="3"/>
  <c r="B9" i="3"/>
  <c r="H23" i="3" s="1"/>
  <c r="G8" i="3"/>
  <c r="B8" i="3"/>
  <c r="H28" i="3" s="1"/>
  <c r="G7" i="3"/>
  <c r="B7" i="3"/>
  <c r="H21" i="3" s="1"/>
  <c r="G6" i="3"/>
  <c r="B6" i="3"/>
  <c r="C77" i="3" s="1" a="1"/>
  <c r="D2" i="3"/>
  <c r="K1" i="3"/>
  <c r="L131" i="3" s="1"/>
  <c r="L104" i="2"/>
  <c r="K104" i="2"/>
  <c r="J104" i="2"/>
  <c r="I104" i="2"/>
  <c r="H104" i="2"/>
  <c r="G104" i="2"/>
  <c r="F104" i="2"/>
  <c r="E104" i="2"/>
  <c r="D104" i="2"/>
  <c r="L103" i="2"/>
  <c r="K103" i="2"/>
  <c r="J103" i="2"/>
  <c r="I103" i="2"/>
  <c r="H103" i="2"/>
  <c r="G103" i="2"/>
  <c r="F103" i="2"/>
  <c r="E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E101" i="2"/>
  <c r="D101" i="2"/>
  <c r="L100" i="2"/>
  <c r="K100" i="2"/>
  <c r="J100" i="2"/>
  <c r="I100" i="2"/>
  <c r="H100" i="2"/>
  <c r="G100" i="2"/>
  <c r="F100" i="2"/>
  <c r="E100" i="2"/>
  <c r="D100" i="2"/>
  <c r="L99" i="2"/>
  <c r="K99" i="2"/>
  <c r="J99" i="2"/>
  <c r="I99" i="2"/>
  <c r="H99" i="2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J97" i="2"/>
  <c r="I97" i="2"/>
  <c r="H97" i="2"/>
  <c r="G97" i="2"/>
  <c r="F97" i="2"/>
  <c r="E97" i="2"/>
  <c r="D97" i="2"/>
  <c r="L96" i="2"/>
  <c r="K96" i="2"/>
  <c r="J96" i="2"/>
  <c r="I96" i="2"/>
  <c r="H96" i="2"/>
  <c r="G96" i="2"/>
  <c r="F96" i="2"/>
  <c r="E96" i="2"/>
  <c r="D96" i="2"/>
  <c r="L95" i="2"/>
  <c r="K95" i="2"/>
  <c r="J95" i="2"/>
  <c r="I95" i="2"/>
  <c r="H95" i="2"/>
  <c r="G95" i="2"/>
  <c r="F95" i="2"/>
  <c r="E95" i="2"/>
  <c r="D95" i="2"/>
  <c r="L94" i="2"/>
  <c r="K94" i="2"/>
  <c r="J94" i="2"/>
  <c r="I94" i="2"/>
  <c r="H94" i="2"/>
  <c r="G94" i="2"/>
  <c r="F94" i="2"/>
  <c r="E94" i="2"/>
  <c r="D94" i="2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A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A90" i="2"/>
  <c r="L89" i="2"/>
  <c r="K89" i="2"/>
  <c r="J89" i="2"/>
  <c r="I89" i="2"/>
  <c r="H89" i="2"/>
  <c r="G89" i="2"/>
  <c r="F89" i="2"/>
  <c r="E89" i="2"/>
  <c r="D89" i="2"/>
  <c r="A89" i="2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C83" i="2"/>
  <c r="C104" i="2" s="1"/>
  <c r="C82" i="2"/>
  <c r="C103" i="2" s="1"/>
  <c r="M103" i="2" s="1"/>
  <c r="O103" i="2" s="1"/>
  <c r="C81" i="2"/>
  <c r="C102" i="2" s="1"/>
  <c r="C80" i="2"/>
  <c r="C101" i="2" s="1"/>
  <c r="M101" i="2" s="1"/>
  <c r="O101" i="2" s="1"/>
  <c r="C79" i="2"/>
  <c r="C100" i="2" s="1"/>
  <c r="C78" i="2"/>
  <c r="C99" i="2" s="1"/>
  <c r="M99" i="2" s="1"/>
  <c r="O99" i="2" s="1"/>
  <c r="C77" i="2"/>
  <c r="C98" i="2" s="1"/>
  <c r="M98" i="2" s="1"/>
  <c r="O98" i="2" s="1"/>
  <c r="C76" i="2"/>
  <c r="C97" i="2" s="1"/>
  <c r="M97" i="2" s="1"/>
  <c r="O97" i="2" s="1"/>
  <c r="C75" i="2"/>
  <c r="C96" i="2" s="1"/>
  <c r="C74" i="2"/>
  <c r="C95" i="2" s="1"/>
  <c r="C73" i="2"/>
  <c r="C94" i="2" s="1"/>
  <c r="M94" i="2" s="1"/>
  <c r="O94" i="2" s="1"/>
  <c r="C72" i="2"/>
  <c r="C93" i="2" s="1"/>
  <c r="AC71" i="2"/>
  <c r="C71" i="2"/>
  <c r="C92" i="2" s="1"/>
  <c r="M92" i="2" s="1"/>
  <c r="O92" i="2" s="1"/>
  <c r="AC70" i="2"/>
  <c r="AB70" i="2"/>
  <c r="C70" i="2"/>
  <c r="C91" i="2" s="1"/>
  <c r="AC69" i="2"/>
  <c r="AB69" i="2"/>
  <c r="AA69" i="2"/>
  <c r="C69" i="2"/>
  <c r="C90" i="2" s="1"/>
  <c r="AC68" i="2"/>
  <c r="AB68" i="2"/>
  <c r="AA68" i="2"/>
  <c r="Z68" i="2"/>
  <c r="C68" i="2"/>
  <c r="C89" i="2" s="1"/>
  <c r="M89" i="2" s="1"/>
  <c r="O89" i="2" s="1"/>
  <c r="AC67" i="2"/>
  <c r="AB67" i="2"/>
  <c r="AA67" i="2"/>
  <c r="Z67" i="2"/>
  <c r="Y67" i="2"/>
  <c r="C67" i="2"/>
  <c r="C88" i="2" s="1"/>
  <c r="M88" i="2" s="1"/>
  <c r="O88" i="2" s="1"/>
  <c r="AC66" i="2"/>
  <c r="AB66" i="2"/>
  <c r="AA66" i="2"/>
  <c r="Z66" i="2"/>
  <c r="Y66" i="2"/>
  <c r="X66" i="2"/>
  <c r="C66" i="2"/>
  <c r="C87" i="2" s="1"/>
  <c r="M87" i="2" s="1"/>
  <c r="O87" i="2" s="1"/>
  <c r="AC65" i="2"/>
  <c r="AB65" i="2"/>
  <c r="AA65" i="2"/>
  <c r="Z65" i="2"/>
  <c r="Y65" i="2"/>
  <c r="X65" i="2"/>
  <c r="W65" i="2"/>
  <c r="C65" i="2"/>
  <c r="C86" i="2" s="1"/>
  <c r="M86" i="2" s="1"/>
  <c r="O86" i="2" s="1"/>
  <c r="AC64" i="2"/>
  <c r="AB64" i="2"/>
  <c r="AA64" i="2"/>
  <c r="Z64" i="2"/>
  <c r="Y64" i="2"/>
  <c r="X64" i="2"/>
  <c r="W64" i="2"/>
  <c r="AC63" i="2"/>
  <c r="AB63" i="2"/>
  <c r="AA63" i="2"/>
  <c r="Z63" i="2"/>
  <c r="Y63" i="2"/>
  <c r="X63" i="2"/>
  <c r="W63" i="2"/>
  <c r="AC59" i="2"/>
  <c r="AB59" i="2"/>
  <c r="AA59" i="2"/>
  <c r="Z59" i="2"/>
  <c r="Y59" i="2"/>
  <c r="X59" i="2"/>
  <c r="W59" i="2"/>
  <c r="V59" i="2"/>
  <c r="U59" i="2"/>
  <c r="T59" i="2"/>
  <c r="AC58" i="2"/>
  <c r="AB58" i="2"/>
  <c r="AA58" i="2"/>
  <c r="Z58" i="2"/>
  <c r="Y58" i="2"/>
  <c r="X58" i="2"/>
  <c r="W58" i="2"/>
  <c r="V58" i="2"/>
  <c r="U58" i="2"/>
  <c r="T58" i="2"/>
  <c r="AC57" i="2"/>
  <c r="AB57" i="2"/>
  <c r="AA57" i="2"/>
  <c r="Z57" i="2"/>
  <c r="Y57" i="2"/>
  <c r="X57" i="2"/>
  <c r="W57" i="2"/>
  <c r="V57" i="2"/>
  <c r="U57" i="2"/>
  <c r="T57" i="2"/>
  <c r="AC56" i="2"/>
  <c r="AB56" i="2"/>
  <c r="AA56" i="2"/>
  <c r="Z56" i="2"/>
  <c r="Y56" i="2"/>
  <c r="X56" i="2"/>
  <c r="W56" i="2"/>
  <c r="V56" i="2"/>
  <c r="U56" i="2"/>
  <c r="T56" i="2"/>
  <c r="AC55" i="2"/>
  <c r="AB55" i="2"/>
  <c r="AA55" i="2"/>
  <c r="Z55" i="2"/>
  <c r="Y55" i="2"/>
  <c r="X55" i="2"/>
  <c r="W55" i="2"/>
  <c r="V55" i="2"/>
  <c r="U55" i="2"/>
  <c r="T55" i="2"/>
  <c r="AC54" i="2"/>
  <c r="AB54" i="2"/>
  <c r="AA54" i="2"/>
  <c r="Z54" i="2"/>
  <c r="Y54" i="2"/>
  <c r="X54" i="2"/>
  <c r="W54" i="2"/>
  <c r="V54" i="2"/>
  <c r="U54" i="2"/>
  <c r="T54" i="2"/>
  <c r="AC53" i="2"/>
  <c r="AB53" i="2"/>
  <c r="AA53" i="2"/>
  <c r="Z53" i="2"/>
  <c r="Y53" i="2"/>
  <c r="X53" i="2"/>
  <c r="W53" i="2"/>
  <c r="V53" i="2"/>
  <c r="U53" i="2"/>
  <c r="T53" i="2"/>
  <c r="AC52" i="2"/>
  <c r="AB52" i="2"/>
  <c r="AA52" i="2"/>
  <c r="Z52" i="2"/>
  <c r="Y52" i="2"/>
  <c r="X52" i="2"/>
  <c r="W52" i="2"/>
  <c r="AC51" i="2"/>
  <c r="AB51" i="2"/>
  <c r="AA51" i="2"/>
  <c r="Z51" i="2"/>
  <c r="Y51" i="2"/>
  <c r="X51" i="2"/>
  <c r="W51" i="2"/>
  <c r="AC50" i="2"/>
  <c r="AB50" i="2"/>
  <c r="AA50" i="2"/>
  <c r="Z50" i="2"/>
  <c r="Y50" i="2"/>
  <c r="X50" i="2"/>
  <c r="W50" i="2"/>
  <c r="AB46" i="2"/>
  <c r="AC46" i="2" s="1"/>
  <c r="AB45" i="2"/>
  <c r="AA45" i="2"/>
  <c r="AB44" i="2"/>
  <c r="AA44" i="2"/>
  <c r="Z44" i="2"/>
  <c r="AB43" i="2"/>
  <c r="AA43" i="2"/>
  <c r="Z43" i="2"/>
  <c r="Y43" i="2"/>
  <c r="AB42" i="2"/>
  <c r="AA42" i="2"/>
  <c r="Z42" i="2"/>
  <c r="Y42" i="2"/>
  <c r="X42" i="2"/>
  <c r="AB41" i="2"/>
  <c r="AA41" i="2"/>
  <c r="Z41" i="2"/>
  <c r="Y41" i="2"/>
  <c r="X41" i="2"/>
  <c r="W41" i="2"/>
  <c r="AB40" i="2"/>
  <c r="AA40" i="2"/>
  <c r="Z40" i="2"/>
  <c r="Y40" i="2"/>
  <c r="X40" i="2"/>
  <c r="W40" i="2"/>
  <c r="V40" i="2"/>
  <c r="AB39" i="2"/>
  <c r="AA39" i="2"/>
  <c r="Z39" i="2"/>
  <c r="Y39" i="2"/>
  <c r="X39" i="2"/>
  <c r="W39" i="2"/>
  <c r="V39" i="2"/>
  <c r="AB38" i="2"/>
  <c r="AA38" i="2"/>
  <c r="Z38" i="2"/>
  <c r="Y38" i="2"/>
  <c r="X38" i="2"/>
  <c r="W38" i="2"/>
  <c r="V38" i="2"/>
  <c r="A44" i="2"/>
  <c r="A43" i="2"/>
  <c r="A41" i="2"/>
  <c r="A40" i="2"/>
  <c r="A38" i="2" a="1"/>
  <c r="A39" i="2" s="1"/>
  <c r="E36" i="2"/>
  <c r="C36" i="2" a="1"/>
  <c r="L36" i="2" s="1"/>
  <c r="P27" i="2"/>
  <c r="P26" i="2"/>
  <c r="P25" i="2"/>
  <c r="P24" i="2"/>
  <c r="P23" i="2"/>
  <c r="P22" i="2"/>
  <c r="P21" i="2"/>
  <c r="K9" i="2"/>
  <c r="J9" i="2"/>
  <c r="P5" i="2"/>
  <c r="B111" i="23"/>
  <c r="U85" i="23"/>
  <c r="J33" i="23"/>
  <c r="M9" i="2"/>
  <c r="J111" i="23"/>
  <c r="S85" i="23"/>
  <c r="M124" i="23"/>
  <c r="H72" i="23"/>
  <c r="M85" i="23"/>
  <c r="H124" i="23"/>
  <c r="S7" i="23"/>
  <c r="H59" i="23"/>
  <c r="H111" i="23"/>
  <c r="J124" i="23"/>
  <c r="H46" i="23"/>
  <c r="U46" i="23"/>
  <c r="U124" i="23"/>
  <c r="M33" i="23"/>
  <c r="B124" i="23"/>
  <c r="B46" i="23"/>
  <c r="S46" i="23"/>
  <c r="S33" i="23"/>
  <c r="S72" i="23"/>
  <c r="S124" i="23"/>
  <c r="H137" i="23"/>
  <c r="B98" i="23"/>
  <c r="U72" i="23"/>
  <c r="M46" i="23"/>
  <c r="M111" i="23"/>
  <c r="B59" i="23"/>
  <c r="B33" i="23"/>
  <c r="B137" i="23"/>
  <c r="J85" i="23"/>
  <c r="M20" i="23"/>
  <c r="J46" i="23"/>
  <c r="U33" i="23"/>
  <c r="S98" i="23"/>
  <c r="J137" i="23"/>
  <c r="M72" i="23"/>
  <c r="U20" i="23"/>
  <c r="M7" i="23"/>
  <c r="M98" i="23"/>
  <c r="H85" i="23"/>
  <c r="J20" i="23"/>
  <c r="S20" i="23"/>
  <c r="J98" i="23"/>
  <c r="B85" i="23"/>
  <c r="B72" i="23"/>
  <c r="H20" i="23"/>
  <c r="U111" i="23"/>
  <c r="S59" i="23"/>
  <c r="U98" i="23"/>
  <c r="B20" i="23"/>
  <c r="J59" i="23"/>
  <c r="H33" i="23"/>
  <c r="J72" i="23"/>
  <c r="S111" i="23"/>
  <c r="M59" i="23"/>
  <c r="U59" i="23"/>
  <c r="U7" i="23"/>
  <c r="H98" i="23"/>
  <c r="F36" i="2" l="1"/>
  <c r="D21" i="3"/>
  <c r="I36" i="2"/>
  <c r="J36" i="2"/>
  <c r="H22" i="3"/>
  <c r="H22" i="11"/>
  <c r="H28" i="5"/>
  <c r="H22" i="8"/>
  <c r="H28" i="19"/>
  <c r="H28" i="18"/>
  <c r="H22" i="9"/>
  <c r="C77" i="17" a="1"/>
  <c r="H22" i="16"/>
  <c r="H28" i="4"/>
  <c r="C36" i="2"/>
  <c r="D21" i="14"/>
  <c r="D36" i="2"/>
  <c r="D21" i="17"/>
  <c r="AC45" i="2"/>
  <c r="AC42" i="2"/>
  <c r="M90" i="2"/>
  <c r="O90" i="2" s="1"/>
  <c r="M100" i="2"/>
  <c r="O100" i="2" s="1"/>
  <c r="AC43" i="2"/>
  <c r="M102" i="2"/>
  <c r="O102" i="2" s="1"/>
  <c r="M104" i="2"/>
  <c r="O104" i="2" s="1"/>
  <c r="M96" i="2"/>
  <c r="O96" i="2" s="1"/>
  <c r="M91" i="2"/>
  <c r="O91" i="2" s="1"/>
  <c r="AC41" i="2"/>
  <c r="M93" i="2"/>
  <c r="O93" i="2" s="1"/>
  <c r="M95" i="2"/>
  <c r="O95" i="2" s="1"/>
  <c r="A48" i="11"/>
  <c r="D48" i="11" s="1"/>
  <c r="J126" i="3"/>
  <c r="A38" i="6"/>
  <c r="D38" i="6" s="1"/>
  <c r="A64" i="6"/>
  <c r="D64" i="6" s="1"/>
  <c r="W82" i="6"/>
  <c r="Y89" i="6"/>
  <c r="L121" i="6"/>
  <c r="C80" i="7"/>
  <c r="C92" i="7" s="1"/>
  <c r="A29" i="7"/>
  <c r="D29" i="7" s="1"/>
  <c r="A60" i="8"/>
  <c r="D60" i="8" s="1"/>
  <c r="Q82" i="8"/>
  <c r="A54" i="9"/>
  <c r="D54" i="9" s="1"/>
  <c r="T82" i="9"/>
  <c r="X87" i="9"/>
  <c r="K117" i="9"/>
  <c r="K106" i="9" s="1"/>
  <c r="K129" i="9"/>
  <c r="S88" i="11"/>
  <c r="A51" i="19"/>
  <c r="D51" i="19" s="1"/>
  <c r="A24" i="6"/>
  <c r="A31" i="6"/>
  <c r="D31" i="6" s="1"/>
  <c r="A47" i="6"/>
  <c r="D47" i="6" s="1"/>
  <c r="A55" i="6"/>
  <c r="D55" i="6" s="1"/>
  <c r="R83" i="6"/>
  <c r="L124" i="6"/>
  <c r="A22" i="7"/>
  <c r="A38" i="7"/>
  <c r="D38" i="7" s="1"/>
  <c r="A48" i="7"/>
  <c r="D48" i="7" s="1"/>
  <c r="T79" i="7"/>
  <c r="L114" i="7"/>
  <c r="L103" i="7" s="1"/>
  <c r="A49" i="8"/>
  <c r="D49" i="8" s="1"/>
  <c r="Z82" i="8"/>
  <c r="A28" i="9"/>
  <c r="D28" i="9" s="1"/>
  <c r="Y82" i="9"/>
  <c r="Y87" i="9"/>
  <c r="L117" i="9"/>
  <c r="L129" i="9"/>
  <c r="U88" i="11"/>
  <c r="I117" i="11"/>
  <c r="I106" i="11" s="1"/>
  <c r="Y79" i="12"/>
  <c r="Z86" i="12"/>
  <c r="N96" i="12"/>
  <c r="I118" i="12"/>
  <c r="V83" i="14"/>
  <c r="L117" i="14"/>
  <c r="L106" i="14" s="1"/>
  <c r="A43" i="16"/>
  <c r="D43" i="16" s="1"/>
  <c r="X83" i="16"/>
  <c r="H127" i="16"/>
  <c r="A51" i="17"/>
  <c r="D51" i="17" s="1"/>
  <c r="Z82" i="17"/>
  <c r="U88" i="17"/>
  <c r="A63" i="19"/>
  <c r="D63" i="19" s="1"/>
  <c r="U80" i="9"/>
  <c r="A36" i="11"/>
  <c r="D36" i="11" s="1"/>
  <c r="AC40" i="2"/>
  <c r="A43" i="3"/>
  <c r="D43" i="3" s="1"/>
  <c r="K129" i="3"/>
  <c r="A34" i="4"/>
  <c r="D34" i="4" s="1"/>
  <c r="I115" i="5"/>
  <c r="I104" i="5" s="1"/>
  <c r="A39" i="6"/>
  <c r="D39" i="6" s="1"/>
  <c r="A65" i="6"/>
  <c r="D65" i="6" s="1"/>
  <c r="S83" i="6"/>
  <c r="K125" i="6"/>
  <c r="A30" i="7"/>
  <c r="D30" i="7" s="1"/>
  <c r="W80" i="7"/>
  <c r="J124" i="7"/>
  <c r="A61" i="8"/>
  <c r="D61" i="8" s="1"/>
  <c r="V83" i="8"/>
  <c r="U83" i="9"/>
  <c r="Q88" i="9"/>
  <c r="N99" i="9"/>
  <c r="I118" i="9"/>
  <c r="A27" i="10"/>
  <c r="D27" i="10" s="1"/>
  <c r="A32" i="11"/>
  <c r="D32" i="11" s="1"/>
  <c r="A64" i="11"/>
  <c r="D64" i="11" s="1"/>
  <c r="Z81" i="11"/>
  <c r="V88" i="11"/>
  <c r="K117" i="11"/>
  <c r="A25" i="17"/>
  <c r="D25" i="17" s="1"/>
  <c r="A43" i="17"/>
  <c r="D43" i="17" s="1"/>
  <c r="V83" i="17"/>
  <c r="W89" i="17"/>
  <c r="L114" i="17"/>
  <c r="L103" i="17" s="1"/>
  <c r="A52" i="9"/>
  <c r="D52" i="9" s="1"/>
  <c r="X79" i="3"/>
  <c r="L132" i="3"/>
  <c r="A25" i="6"/>
  <c r="D25" i="6" s="1"/>
  <c r="A32" i="6"/>
  <c r="D32" i="6" s="1"/>
  <c r="A48" i="6"/>
  <c r="D48" i="6" s="1"/>
  <c r="A56" i="6"/>
  <c r="D56" i="6" s="1"/>
  <c r="Z83" i="6"/>
  <c r="G127" i="6"/>
  <c r="A23" i="7"/>
  <c r="D23" i="7" s="1"/>
  <c r="A39" i="7"/>
  <c r="D39" i="7" s="1"/>
  <c r="X80" i="7"/>
  <c r="R84" i="8"/>
  <c r="A21" i="9"/>
  <c r="D79" i="9" s="1"/>
  <c r="A38" i="9"/>
  <c r="D38" i="9" s="1"/>
  <c r="W83" i="9"/>
  <c r="S88" i="9"/>
  <c r="K120" i="9"/>
  <c r="K109" i="9" s="1"/>
  <c r="A41" i="11"/>
  <c r="D41" i="11" s="1"/>
  <c r="A52" i="11"/>
  <c r="D52" i="11" s="1"/>
  <c r="V82" i="11"/>
  <c r="Q89" i="11"/>
  <c r="K119" i="11"/>
  <c r="U80" i="12"/>
  <c r="W87" i="12"/>
  <c r="G124" i="12"/>
  <c r="L117" i="13"/>
  <c r="A23" i="14"/>
  <c r="D23" i="14" s="1"/>
  <c r="Y83" i="14"/>
  <c r="I124" i="14"/>
  <c r="A27" i="16"/>
  <c r="D27" i="16" s="1"/>
  <c r="R84" i="16"/>
  <c r="N95" i="16"/>
  <c r="A34" i="17"/>
  <c r="D34" i="17" s="1"/>
  <c r="A52" i="17"/>
  <c r="D52" i="17" s="1"/>
  <c r="W83" i="17"/>
  <c r="F115" i="17"/>
  <c r="W87" i="18"/>
  <c r="A53" i="19"/>
  <c r="D53" i="19" s="1"/>
  <c r="H15" i="24"/>
  <c r="A44" i="3"/>
  <c r="D44" i="3" s="1"/>
  <c r="T80" i="3"/>
  <c r="A40" i="6"/>
  <c r="D40" i="6" s="1"/>
  <c r="V84" i="6"/>
  <c r="I128" i="6"/>
  <c r="A31" i="7"/>
  <c r="D31" i="7" s="1"/>
  <c r="T81" i="7"/>
  <c r="A33" i="8"/>
  <c r="D33" i="8" s="1"/>
  <c r="A41" i="8"/>
  <c r="D41" i="8" s="1"/>
  <c r="A62" i="8"/>
  <c r="D62" i="8" s="1"/>
  <c r="Y84" i="8"/>
  <c r="X83" i="9"/>
  <c r="T88" i="9"/>
  <c r="F124" i="9"/>
  <c r="A33" i="11"/>
  <c r="D33" i="11" s="1"/>
  <c r="A65" i="11"/>
  <c r="D65" i="11" s="1"/>
  <c r="R83" i="11"/>
  <c r="L131" i="11"/>
  <c r="Y87" i="12"/>
  <c r="H124" i="12"/>
  <c r="L119" i="13"/>
  <c r="L108" i="13" s="1"/>
  <c r="A51" i="14"/>
  <c r="D51" i="14" s="1"/>
  <c r="R84" i="14"/>
  <c r="H126" i="14"/>
  <c r="A36" i="16"/>
  <c r="D36" i="16" s="1"/>
  <c r="A45" i="16"/>
  <c r="D45" i="16" s="1"/>
  <c r="T84" i="16"/>
  <c r="Y83" i="17"/>
  <c r="J117" i="17"/>
  <c r="I15" i="24"/>
  <c r="J126" i="9"/>
  <c r="Q85" i="11"/>
  <c r="A91" i="2"/>
  <c r="A59" i="3"/>
  <c r="D59" i="3" s="1"/>
  <c r="W81" i="3"/>
  <c r="A35" i="4"/>
  <c r="D35" i="4" s="1"/>
  <c r="A33" i="6"/>
  <c r="D33" i="6" s="1"/>
  <c r="A49" i="6"/>
  <c r="D49" i="6" s="1"/>
  <c r="A57" i="6"/>
  <c r="D57" i="6" s="1"/>
  <c r="W84" i="6"/>
  <c r="K130" i="6"/>
  <c r="A24" i="7"/>
  <c r="D24" i="7" s="1"/>
  <c r="A40" i="7"/>
  <c r="D40" i="7" s="1"/>
  <c r="W82" i="7"/>
  <c r="A25" i="8"/>
  <c r="D25" i="8" s="1"/>
  <c r="U85" i="8"/>
  <c r="U79" i="9"/>
  <c r="Y83" i="9"/>
  <c r="U88" i="9"/>
  <c r="H124" i="9"/>
  <c r="W83" i="11"/>
  <c r="A50" i="12"/>
  <c r="D50" i="12" s="1"/>
  <c r="A61" i="12"/>
  <c r="D61" i="12" s="1"/>
  <c r="X81" i="12"/>
  <c r="R88" i="12"/>
  <c r="N99" i="12"/>
  <c r="J124" i="12"/>
  <c r="A44" i="14"/>
  <c r="D44" i="14" s="1"/>
  <c r="T84" i="14"/>
  <c r="J126" i="14"/>
  <c r="A25" i="15"/>
  <c r="D25" i="15" s="1"/>
  <c r="A21" i="16"/>
  <c r="D79" i="16" s="1"/>
  <c r="U84" i="16"/>
  <c r="A27" i="17"/>
  <c r="D27" i="17" s="1"/>
  <c r="A35" i="17"/>
  <c r="D35" i="17" s="1"/>
  <c r="A44" i="17"/>
  <c r="D44" i="17" s="1"/>
  <c r="R84" i="17"/>
  <c r="K117" i="17"/>
  <c r="K106" i="17" s="1"/>
  <c r="AC44" i="2"/>
  <c r="S82" i="3"/>
  <c r="A41" i="6"/>
  <c r="D41" i="6" s="1"/>
  <c r="R85" i="6"/>
  <c r="A32" i="7"/>
  <c r="D32" i="7" s="1"/>
  <c r="A63" i="7"/>
  <c r="D63" i="7" s="1"/>
  <c r="S83" i="7"/>
  <c r="A52" i="8"/>
  <c r="D52" i="8" s="1"/>
  <c r="Q86" i="8"/>
  <c r="W79" i="9"/>
  <c r="Q84" i="9"/>
  <c r="W89" i="9"/>
  <c r="I124" i="9"/>
  <c r="A34" i="11"/>
  <c r="D34" i="11" s="1"/>
  <c r="Y83" i="11"/>
  <c r="T82" i="12"/>
  <c r="S88" i="12"/>
  <c r="I125" i="12"/>
  <c r="V81" i="13"/>
  <c r="A25" i="14"/>
  <c r="D25" i="14" s="1"/>
  <c r="A31" i="14"/>
  <c r="D31" i="14" s="1"/>
  <c r="A37" i="14"/>
  <c r="D37" i="14" s="1"/>
  <c r="U84" i="14"/>
  <c r="N94" i="14"/>
  <c r="I129" i="14"/>
  <c r="Q85" i="16"/>
  <c r="S84" i="17"/>
  <c r="G124" i="17"/>
  <c r="A32" i="22"/>
  <c r="D32" i="22" s="1"/>
  <c r="A65" i="22"/>
  <c r="D65" i="22" s="1"/>
  <c r="A60" i="3"/>
  <c r="D60" i="3" s="1"/>
  <c r="X83" i="3"/>
  <c r="Y79" i="4"/>
  <c r="Z87" i="5"/>
  <c r="S85" i="6"/>
  <c r="Z86" i="8"/>
  <c r="H116" i="8"/>
  <c r="H105" i="8" s="1"/>
  <c r="A22" i="9"/>
  <c r="A50" i="9"/>
  <c r="D50" i="9" s="1"/>
  <c r="A59" i="9"/>
  <c r="D59" i="9" s="1"/>
  <c r="X79" i="9"/>
  <c r="S84" i="9"/>
  <c r="F113" i="9"/>
  <c r="J124" i="9"/>
  <c r="Z83" i="11"/>
  <c r="A29" i="12"/>
  <c r="D29" i="12" s="1"/>
  <c r="A51" i="12"/>
  <c r="D51" i="12" s="1"/>
  <c r="Z82" i="12"/>
  <c r="U88" i="12"/>
  <c r="H126" i="12"/>
  <c r="S84" i="13"/>
  <c r="A52" i="14"/>
  <c r="D52" i="14" s="1"/>
  <c r="A59" i="14"/>
  <c r="D59" i="14" s="1"/>
  <c r="V79" i="14"/>
  <c r="Q85" i="14"/>
  <c r="K129" i="14"/>
  <c r="V79" i="16"/>
  <c r="Z86" i="16"/>
  <c r="A36" i="17"/>
  <c r="D36" i="17" s="1"/>
  <c r="U84" i="17"/>
  <c r="H124" i="17"/>
  <c r="A34" i="18"/>
  <c r="D34" i="18" s="1"/>
  <c r="A22" i="16"/>
  <c r="A29" i="16"/>
  <c r="D29" i="16" s="1"/>
  <c r="A37" i="16"/>
  <c r="D37" i="16" s="1"/>
  <c r="X79" i="16"/>
  <c r="V87" i="16"/>
  <c r="A28" i="17"/>
  <c r="D28" i="17" s="1"/>
  <c r="A45" i="17"/>
  <c r="D45" i="17" s="1"/>
  <c r="Q85" i="17"/>
  <c r="N94" i="17"/>
  <c r="H126" i="17"/>
  <c r="A21" i="19"/>
  <c r="Q83" i="19"/>
  <c r="H115" i="19"/>
  <c r="A56" i="22"/>
  <c r="D56" i="22" s="1"/>
  <c r="A36" i="3"/>
  <c r="D36" i="3" s="1"/>
  <c r="W85" i="3"/>
  <c r="U81" i="4"/>
  <c r="H115" i="4"/>
  <c r="H104" i="4" s="1"/>
  <c r="A28" i="6"/>
  <c r="D28" i="6" s="1"/>
  <c r="V86" i="6"/>
  <c r="A28" i="8"/>
  <c r="D28" i="8" s="1"/>
  <c r="A36" i="8"/>
  <c r="D36" i="8" s="1"/>
  <c r="R88" i="8"/>
  <c r="J126" i="8"/>
  <c r="A51" i="9"/>
  <c r="D51" i="9" s="1"/>
  <c r="A60" i="9"/>
  <c r="D60" i="9" s="1"/>
  <c r="U84" i="9"/>
  <c r="F114" i="9"/>
  <c r="G126" i="9"/>
  <c r="L114" i="10"/>
  <c r="A57" i="11"/>
  <c r="D57" i="11" s="1"/>
  <c r="W79" i="11"/>
  <c r="U84" i="11"/>
  <c r="A52" i="12"/>
  <c r="D52" i="12" s="1"/>
  <c r="W83" i="12"/>
  <c r="G113" i="12"/>
  <c r="G102" i="12" s="1"/>
  <c r="K126" i="12"/>
  <c r="A27" i="14"/>
  <c r="D27" i="14" s="1"/>
  <c r="A60" i="14"/>
  <c r="D60" i="14" s="1"/>
  <c r="X79" i="14"/>
  <c r="T86" i="14"/>
  <c r="A39" i="15"/>
  <c r="D39" i="15" s="1"/>
  <c r="N100" i="15"/>
  <c r="A59" i="16"/>
  <c r="D59" i="16" s="1"/>
  <c r="Y79" i="16"/>
  <c r="X87" i="16"/>
  <c r="L113" i="16"/>
  <c r="V79" i="17"/>
  <c r="X85" i="17"/>
  <c r="I126" i="17"/>
  <c r="T84" i="19"/>
  <c r="I116" i="19"/>
  <c r="I105" i="19" s="1"/>
  <c r="R83" i="4"/>
  <c r="I124" i="4"/>
  <c r="V80" i="6"/>
  <c r="W86" i="6"/>
  <c r="A45" i="8"/>
  <c r="D45" i="8" s="1"/>
  <c r="Y88" i="8"/>
  <c r="L131" i="8"/>
  <c r="T80" i="9"/>
  <c r="Q85" i="9"/>
  <c r="K114" i="9"/>
  <c r="K103" i="9" s="1"/>
  <c r="I126" i="9"/>
  <c r="K129" i="10"/>
  <c r="Y79" i="11"/>
  <c r="V84" i="11"/>
  <c r="Y83" i="12"/>
  <c r="F114" i="12"/>
  <c r="F103" i="12" s="1"/>
  <c r="L127" i="12"/>
  <c r="Y79" i="14"/>
  <c r="Z86" i="14"/>
  <c r="T80" i="16"/>
  <c r="Y87" i="16"/>
  <c r="H114" i="16"/>
  <c r="H103" i="16" s="1"/>
  <c r="W79" i="17"/>
  <c r="T86" i="17"/>
  <c r="I129" i="17"/>
  <c r="S85" i="19"/>
  <c r="L132" i="19"/>
  <c r="A35" i="22"/>
  <c r="D35" i="22" s="1"/>
  <c r="A23" i="16"/>
  <c r="D23" i="16" s="1"/>
  <c r="U80" i="16"/>
  <c r="R88" i="16"/>
  <c r="K114" i="16"/>
  <c r="K103" i="16" s="1"/>
  <c r="A29" i="17"/>
  <c r="D29" i="17" s="1"/>
  <c r="Y79" i="17"/>
  <c r="Z86" i="17"/>
  <c r="N96" i="17"/>
  <c r="J129" i="17"/>
  <c r="A35" i="19"/>
  <c r="D35" i="19" s="1"/>
  <c r="X85" i="19"/>
  <c r="F115" i="21"/>
  <c r="A25" i="22"/>
  <c r="D25" i="22" s="1"/>
  <c r="A58" i="22"/>
  <c r="D58" i="22" s="1"/>
  <c r="Z79" i="11"/>
  <c r="T88" i="3"/>
  <c r="L117" i="3"/>
  <c r="A50" i="4"/>
  <c r="D50" i="4" s="1"/>
  <c r="R85" i="4"/>
  <c r="S87" i="6"/>
  <c r="H114" i="6"/>
  <c r="H103" i="6" s="1"/>
  <c r="A46" i="8"/>
  <c r="D46" i="8" s="1"/>
  <c r="T86" i="9"/>
  <c r="G115" i="9"/>
  <c r="G104" i="9" s="1"/>
  <c r="K126" i="9"/>
  <c r="R85" i="11"/>
  <c r="N97" i="11"/>
  <c r="S84" i="12"/>
  <c r="F115" i="12"/>
  <c r="F104" i="12" s="1"/>
  <c r="J129" i="12"/>
  <c r="A28" i="14"/>
  <c r="D28" i="14" s="1"/>
  <c r="A61" i="14"/>
  <c r="D61" i="14" s="1"/>
  <c r="U80" i="14"/>
  <c r="X87" i="14"/>
  <c r="S84" i="15"/>
  <c r="H125" i="15"/>
  <c r="A50" i="16"/>
  <c r="D50" i="16" s="1"/>
  <c r="A61" i="16"/>
  <c r="D61" i="16" s="1"/>
  <c r="T88" i="16"/>
  <c r="I118" i="16"/>
  <c r="I107" i="16" s="1"/>
  <c r="V87" i="17"/>
  <c r="A27" i="18"/>
  <c r="D27" i="18" s="1"/>
  <c r="Z86" i="19"/>
  <c r="U82" i="22"/>
  <c r="X85" i="9"/>
  <c r="A27" i="3"/>
  <c r="D27" i="3" s="1"/>
  <c r="V89" i="3"/>
  <c r="L119" i="3"/>
  <c r="L108" i="3" s="1"/>
  <c r="U87" i="4"/>
  <c r="A22" i="6"/>
  <c r="D22" i="6" s="1"/>
  <c r="A37" i="6"/>
  <c r="D37" i="6" s="1"/>
  <c r="A44" i="6"/>
  <c r="D44" i="6" s="1"/>
  <c r="A53" i="6"/>
  <c r="D53" i="6" s="1"/>
  <c r="Z87" i="6"/>
  <c r="J115" i="6"/>
  <c r="J104" i="6" s="1"/>
  <c r="A28" i="7"/>
  <c r="D28" i="7" s="1"/>
  <c r="A35" i="7"/>
  <c r="D35" i="7" s="1"/>
  <c r="A46" i="7"/>
  <c r="D46" i="7" s="1"/>
  <c r="A56" i="7"/>
  <c r="D56" i="7" s="1"/>
  <c r="A30" i="8"/>
  <c r="D30" i="8" s="1"/>
  <c r="V79" i="8"/>
  <c r="A35" i="9"/>
  <c r="D35" i="9" s="1"/>
  <c r="A44" i="9"/>
  <c r="D44" i="9" s="1"/>
  <c r="W81" i="9"/>
  <c r="Y86" i="9"/>
  <c r="H115" i="9"/>
  <c r="H104" i="9" s="1"/>
  <c r="L127" i="9"/>
  <c r="T80" i="10"/>
  <c r="A49" i="11"/>
  <c r="D49" i="11" s="1"/>
  <c r="U80" i="11"/>
  <c r="W87" i="11"/>
  <c r="Y87" i="14"/>
  <c r="F113" i="14"/>
  <c r="F102" i="14" s="1"/>
  <c r="X81" i="16"/>
  <c r="U88" i="16"/>
  <c r="K119" i="16"/>
  <c r="A30" i="17"/>
  <c r="D30" i="17" s="1"/>
  <c r="U80" i="17"/>
  <c r="W87" i="17"/>
  <c r="U88" i="19"/>
  <c r="A49" i="22"/>
  <c r="D49" i="22" s="1"/>
  <c r="V82" i="22"/>
  <c r="L127" i="22"/>
  <c r="I124" i="3"/>
  <c r="T88" i="4"/>
  <c r="A30" i="6"/>
  <c r="D30" i="6" s="1"/>
  <c r="Z81" i="6"/>
  <c r="W88" i="6"/>
  <c r="K116" i="6"/>
  <c r="K105" i="6" s="1"/>
  <c r="A21" i="7"/>
  <c r="A22" i="8"/>
  <c r="D22" i="8" s="1"/>
  <c r="A38" i="8"/>
  <c r="D38" i="8" s="1"/>
  <c r="Y80" i="8"/>
  <c r="X81" i="9"/>
  <c r="U87" i="9"/>
  <c r="N96" i="9"/>
  <c r="I116" i="9"/>
  <c r="L128" i="9"/>
  <c r="V83" i="10"/>
  <c r="V80" i="11"/>
  <c r="Y87" i="11"/>
  <c r="A34" i="12"/>
  <c r="D34" i="12" s="1"/>
  <c r="Q85" i="12"/>
  <c r="N94" i="12"/>
  <c r="I116" i="12"/>
  <c r="I105" i="12" s="1"/>
  <c r="X81" i="14"/>
  <c r="R88" i="14"/>
  <c r="L114" i="14"/>
  <c r="V89" i="15"/>
  <c r="A24" i="16"/>
  <c r="D24" i="16" s="1"/>
  <c r="A51" i="16"/>
  <c r="D51" i="16" s="1"/>
  <c r="T82" i="16"/>
  <c r="L119" i="16"/>
  <c r="Y87" i="17"/>
  <c r="H125" i="18"/>
  <c r="A37" i="19"/>
  <c r="D37" i="19" s="1"/>
  <c r="A26" i="22"/>
  <c r="D26" i="22" s="1"/>
  <c r="W82" i="22"/>
  <c r="H128" i="22"/>
  <c r="A28" i="3"/>
  <c r="D28" i="3" s="1"/>
  <c r="H125" i="3"/>
  <c r="A23" i="6"/>
  <c r="D23" i="6" s="1"/>
  <c r="V82" i="6"/>
  <c r="R89" i="6"/>
  <c r="K118" i="6"/>
  <c r="K107" i="6" s="1"/>
  <c r="A47" i="7"/>
  <c r="D47" i="7" s="1"/>
  <c r="U81" i="8"/>
  <c r="A27" i="9"/>
  <c r="D27" i="9" s="1"/>
  <c r="A36" i="9"/>
  <c r="D36" i="9" s="1"/>
  <c r="S82" i="9"/>
  <c r="W87" i="9"/>
  <c r="I117" i="9"/>
  <c r="I106" i="9" s="1"/>
  <c r="J129" i="9"/>
  <c r="A50" i="11"/>
  <c r="D50" i="11" s="1"/>
  <c r="W80" i="11"/>
  <c r="Z87" i="11"/>
  <c r="N99" i="11"/>
  <c r="A45" i="12"/>
  <c r="D45" i="12" s="1"/>
  <c r="V79" i="12"/>
  <c r="X85" i="12"/>
  <c r="J117" i="12"/>
  <c r="J106" i="12" s="1"/>
  <c r="A29" i="14"/>
  <c r="D29" i="14" s="1"/>
  <c r="A35" i="14"/>
  <c r="D35" i="14" s="1"/>
  <c r="T82" i="14"/>
  <c r="T88" i="14"/>
  <c r="G115" i="14"/>
  <c r="G104" i="14" s="1"/>
  <c r="Z82" i="16"/>
  <c r="I126" i="16"/>
  <c r="A41" i="17"/>
  <c r="D41" i="17" s="1"/>
  <c r="A50" i="17"/>
  <c r="D50" i="17" s="1"/>
  <c r="A61" i="17"/>
  <c r="D61" i="17" s="1"/>
  <c r="X81" i="17"/>
  <c r="R88" i="17"/>
  <c r="N99" i="17"/>
  <c r="I127" i="18"/>
  <c r="R83" i="22"/>
  <c r="D77" i="3"/>
  <c r="C77" i="3"/>
  <c r="E77" i="3"/>
  <c r="L77" i="3"/>
  <c r="K77" i="3"/>
  <c r="J77" i="3"/>
  <c r="I77" i="3"/>
  <c r="H77" i="3"/>
  <c r="G77" i="3"/>
  <c r="F77" i="3"/>
  <c r="A35" i="3"/>
  <c r="D35" i="3" s="1"/>
  <c r="H37" i="3"/>
  <c r="A51" i="3"/>
  <c r="D51" i="3" s="1"/>
  <c r="H53" i="3"/>
  <c r="X81" i="3"/>
  <c r="T82" i="3"/>
  <c r="X85" i="3"/>
  <c r="T86" i="3"/>
  <c r="W89" i="3"/>
  <c r="N96" i="3"/>
  <c r="F114" i="3"/>
  <c r="F103" i="3" s="1"/>
  <c r="I116" i="3"/>
  <c r="I105" i="3" s="1"/>
  <c r="K120" i="3"/>
  <c r="K109" i="3" s="1"/>
  <c r="I125" i="3"/>
  <c r="L127" i="3"/>
  <c r="L132" i="4"/>
  <c r="K127" i="4"/>
  <c r="H125" i="4"/>
  <c r="L119" i="4"/>
  <c r="L108" i="4" s="1"/>
  <c r="H116" i="4"/>
  <c r="H105" i="4" s="1"/>
  <c r="V89" i="4"/>
  <c r="S86" i="4"/>
  <c r="W85" i="4"/>
  <c r="S82" i="4"/>
  <c r="W81" i="4"/>
  <c r="L131" i="4"/>
  <c r="J127" i="4"/>
  <c r="G125" i="4"/>
  <c r="K119" i="4"/>
  <c r="K108" i="4" s="1"/>
  <c r="G116" i="4"/>
  <c r="G105" i="4" s="1"/>
  <c r="L113" i="4"/>
  <c r="L102" i="4" s="1"/>
  <c r="U89" i="4"/>
  <c r="Z88" i="4"/>
  <c r="R86" i="4"/>
  <c r="V85" i="4"/>
  <c r="Z84" i="4"/>
  <c r="R82" i="4"/>
  <c r="V81" i="4"/>
  <c r="Z80" i="4"/>
  <c r="K131" i="4"/>
  <c r="I127" i="4"/>
  <c r="F125" i="4"/>
  <c r="J119" i="4"/>
  <c r="J108" i="4" s="1"/>
  <c r="L115" i="4"/>
  <c r="L104" i="4" s="1"/>
  <c r="K113" i="4"/>
  <c r="K102" i="4" s="1"/>
  <c r="N97" i="4"/>
  <c r="T89" i="4"/>
  <c r="Y88" i="4"/>
  <c r="L130" i="4"/>
  <c r="H127" i="4"/>
  <c r="L118" i="4"/>
  <c r="L107" i="4" s="1"/>
  <c r="K115" i="4"/>
  <c r="K104" i="4" s="1"/>
  <c r="J113" i="4"/>
  <c r="J102" i="4" s="1"/>
  <c r="S89" i="4"/>
  <c r="K130" i="4"/>
  <c r="G127" i="4"/>
  <c r="L124" i="4"/>
  <c r="K118" i="4"/>
  <c r="K107" i="4" s="1"/>
  <c r="J115" i="4"/>
  <c r="J104" i="4" s="1"/>
  <c r="I113" i="4"/>
  <c r="I102" i="4" s="1"/>
  <c r="R89" i="4"/>
  <c r="W88" i="4"/>
  <c r="S85" i="4"/>
  <c r="W84" i="4"/>
  <c r="J130" i="4"/>
  <c r="L126" i="4"/>
  <c r="K124" i="4"/>
  <c r="J118" i="4"/>
  <c r="J107" i="4" s="1"/>
  <c r="I115" i="4"/>
  <c r="I104" i="4" s="1"/>
  <c r="H113" i="4"/>
  <c r="H102" i="4" s="1"/>
  <c r="N98" i="4"/>
  <c r="J129" i="4"/>
  <c r="I126" i="4"/>
  <c r="H124" i="4"/>
  <c r="K117" i="4"/>
  <c r="K106" i="4" s="1"/>
  <c r="F115" i="4"/>
  <c r="F104" i="4" s="1"/>
  <c r="N99" i="4"/>
  <c r="S88" i="4"/>
  <c r="W87" i="4"/>
  <c r="S84" i="4"/>
  <c r="W83" i="4"/>
  <c r="I129" i="4"/>
  <c r="H126" i="4"/>
  <c r="G124" i="4"/>
  <c r="J117" i="4"/>
  <c r="J106" i="4" s="1"/>
  <c r="L114" i="4"/>
  <c r="L103" i="4" s="1"/>
  <c r="N94" i="4"/>
  <c r="R88" i="4"/>
  <c r="V87" i="4"/>
  <c r="Z86" i="4"/>
  <c r="R84" i="4"/>
  <c r="V83" i="4"/>
  <c r="Z82" i="4"/>
  <c r="L128" i="4"/>
  <c r="G126" i="4"/>
  <c r="F124" i="4"/>
  <c r="I117" i="4"/>
  <c r="I106" i="4" s="1"/>
  <c r="K114" i="4"/>
  <c r="K103" i="4" s="1"/>
  <c r="K128" i="4"/>
  <c r="F126" i="4"/>
  <c r="H117" i="4"/>
  <c r="H106" i="4" s="1"/>
  <c r="J114" i="4"/>
  <c r="J103" i="4" s="1"/>
  <c r="N100" i="4"/>
  <c r="T87" i="4"/>
  <c r="X86" i="4"/>
  <c r="T83" i="4"/>
  <c r="X82" i="4"/>
  <c r="J128" i="4"/>
  <c r="L125" i="4"/>
  <c r="L116" i="4"/>
  <c r="L105" i="4" s="1"/>
  <c r="I114" i="4"/>
  <c r="I103" i="4" s="1"/>
  <c r="N95" i="4"/>
  <c r="Z89" i="4"/>
  <c r="S87" i="4"/>
  <c r="W86" i="4"/>
  <c r="I128" i="4"/>
  <c r="K125" i="4"/>
  <c r="L121" i="4"/>
  <c r="L110" i="4" s="1"/>
  <c r="K116" i="4"/>
  <c r="K105" i="4" s="1"/>
  <c r="H114" i="4"/>
  <c r="H103" i="4" s="1"/>
  <c r="A26" i="4"/>
  <c r="D26" i="4" s="1"/>
  <c r="A42" i="4"/>
  <c r="D42" i="4" s="1"/>
  <c r="H44" i="4"/>
  <c r="A58" i="4"/>
  <c r="D58" i="4" s="1"/>
  <c r="S83" i="4"/>
  <c r="Y84" i="4"/>
  <c r="X87" i="4"/>
  <c r="J124" i="4"/>
  <c r="V84" i="5"/>
  <c r="J116" i="5"/>
  <c r="J105" i="5" s="1"/>
  <c r="D21" i="7"/>
  <c r="C77" i="7" a="1"/>
  <c r="H51" i="7"/>
  <c r="H53" i="7"/>
  <c r="H55" i="7"/>
  <c r="H57" i="7"/>
  <c r="H59" i="7"/>
  <c r="H61" i="7"/>
  <c r="H63" i="7"/>
  <c r="H49" i="7"/>
  <c r="A42" i="2"/>
  <c r="A26" i="3"/>
  <c r="D26" i="3" s="1"/>
  <c r="A42" i="3"/>
  <c r="D42" i="3" s="1"/>
  <c r="H44" i="3"/>
  <c r="A58" i="3"/>
  <c r="D58" i="3" s="1"/>
  <c r="H60" i="3"/>
  <c r="Y81" i="3"/>
  <c r="U82" i="3"/>
  <c r="Q83" i="3"/>
  <c r="Y85" i="3"/>
  <c r="U86" i="3"/>
  <c r="Q87" i="3"/>
  <c r="X89" i="3"/>
  <c r="G114" i="3"/>
  <c r="G103" i="3" s="1"/>
  <c r="J116" i="3"/>
  <c r="J105" i="3" s="1"/>
  <c r="L120" i="3"/>
  <c r="L109" i="3" s="1"/>
  <c r="J125" i="3"/>
  <c r="H128" i="3"/>
  <c r="A33" i="4"/>
  <c r="D33" i="4" s="1"/>
  <c r="H35" i="4"/>
  <c r="A49" i="4"/>
  <c r="D49" i="4" s="1"/>
  <c r="H51" i="4"/>
  <c r="A65" i="4"/>
  <c r="D65" i="4" s="1"/>
  <c r="U83" i="4"/>
  <c r="Y87" i="4"/>
  <c r="Q89" i="4"/>
  <c r="I125" i="4"/>
  <c r="N98" i="5"/>
  <c r="J118" i="5"/>
  <c r="A33" i="3"/>
  <c r="D33" i="3" s="1"/>
  <c r="H35" i="3"/>
  <c r="A49" i="3"/>
  <c r="D49" i="3" s="1"/>
  <c r="H51" i="3"/>
  <c r="A65" i="3"/>
  <c r="D65" i="3" s="1"/>
  <c r="Z81" i="3"/>
  <c r="V82" i="3"/>
  <c r="R83" i="3"/>
  <c r="Z85" i="3"/>
  <c r="V86" i="3"/>
  <c r="R87" i="3"/>
  <c r="Y89" i="3"/>
  <c r="H105" i="3"/>
  <c r="H114" i="3"/>
  <c r="H103" i="3" s="1"/>
  <c r="K116" i="3"/>
  <c r="K105" i="3" s="1"/>
  <c r="L121" i="3"/>
  <c r="L110" i="3" s="1"/>
  <c r="K125" i="3"/>
  <c r="I128" i="3"/>
  <c r="A24" i="4"/>
  <c r="D24" i="4" s="1"/>
  <c r="A40" i="4"/>
  <c r="D40" i="4" s="1"/>
  <c r="A56" i="4"/>
  <c r="D56" i="4" s="1"/>
  <c r="Q82" i="4"/>
  <c r="X83" i="4"/>
  <c r="Z87" i="4"/>
  <c r="W89" i="4"/>
  <c r="J125" i="4"/>
  <c r="R85" i="5"/>
  <c r="L120" i="5"/>
  <c r="L109" i="5" s="1"/>
  <c r="A24" i="3"/>
  <c r="D24" i="3" s="1"/>
  <c r="H26" i="3"/>
  <c r="A40" i="3"/>
  <c r="D40" i="3" s="1"/>
  <c r="H42" i="3"/>
  <c r="A56" i="3"/>
  <c r="D56" i="3" s="1"/>
  <c r="H58" i="3"/>
  <c r="W82" i="3"/>
  <c r="S83" i="3"/>
  <c r="W86" i="3"/>
  <c r="S87" i="3"/>
  <c r="Z89" i="3"/>
  <c r="N95" i="3"/>
  <c r="I114" i="3"/>
  <c r="I103" i="3" s="1"/>
  <c r="L116" i="3"/>
  <c r="L105" i="3" s="1"/>
  <c r="L125" i="3"/>
  <c r="J128" i="3"/>
  <c r="A31" i="4"/>
  <c r="D31" i="4" s="1"/>
  <c r="A47" i="4"/>
  <c r="D47" i="4" s="1"/>
  <c r="H49" i="4"/>
  <c r="A63" i="4"/>
  <c r="D63" i="4" s="1"/>
  <c r="H65" i="4"/>
  <c r="T79" i="4"/>
  <c r="T82" i="4"/>
  <c r="Y83" i="4"/>
  <c r="Q86" i="4"/>
  <c r="X89" i="4"/>
  <c r="N96" i="4"/>
  <c r="F113" i="4"/>
  <c r="F102" i="4" s="1"/>
  <c r="J126" i="4"/>
  <c r="Y85" i="5"/>
  <c r="K124" i="5"/>
  <c r="A45" i="2"/>
  <c r="A31" i="3"/>
  <c r="D31" i="3" s="1"/>
  <c r="H33" i="3"/>
  <c r="A47" i="3"/>
  <c r="D47" i="3" s="1"/>
  <c r="H49" i="3"/>
  <c r="A63" i="3"/>
  <c r="D63" i="3" s="1"/>
  <c r="H65" i="3"/>
  <c r="T79" i="3"/>
  <c r="X82" i="3"/>
  <c r="T83" i="3"/>
  <c r="X86" i="3"/>
  <c r="T87" i="3"/>
  <c r="N100" i="3"/>
  <c r="J114" i="3"/>
  <c r="J103" i="3" s="1"/>
  <c r="H117" i="3"/>
  <c r="H106" i="3" s="1"/>
  <c r="F126" i="3"/>
  <c r="K128" i="3"/>
  <c r="A22" i="4"/>
  <c r="D22" i="4" s="1"/>
  <c r="H24" i="4"/>
  <c r="A38" i="4"/>
  <c r="D38" i="4" s="1"/>
  <c r="A54" i="4"/>
  <c r="D54" i="4" s="1"/>
  <c r="U79" i="4"/>
  <c r="U82" i="4"/>
  <c r="Z83" i="4"/>
  <c r="T86" i="4"/>
  <c r="Y89" i="4"/>
  <c r="G113" i="4"/>
  <c r="G102" i="4" s="1"/>
  <c r="K126" i="4"/>
  <c r="Z79" i="5"/>
  <c r="J125" i="5"/>
  <c r="G36" i="2"/>
  <c r="A46" i="2"/>
  <c r="A22" i="3"/>
  <c r="D22" i="3" s="1"/>
  <c r="H24" i="3"/>
  <c r="A38" i="3"/>
  <c r="D38" i="3" s="1"/>
  <c r="H40" i="3"/>
  <c r="A54" i="3"/>
  <c r="D54" i="3" s="1"/>
  <c r="H56" i="3"/>
  <c r="U79" i="3"/>
  <c r="Y82" i="3"/>
  <c r="U83" i="3"/>
  <c r="Q84" i="3"/>
  <c r="Y86" i="3"/>
  <c r="U87" i="3"/>
  <c r="Q88" i="3"/>
  <c r="K114" i="3"/>
  <c r="K103" i="3" s="1"/>
  <c r="I117" i="3"/>
  <c r="I106" i="3" s="1"/>
  <c r="F124" i="3"/>
  <c r="G126" i="3"/>
  <c r="L128" i="3"/>
  <c r="A29" i="4"/>
  <c r="D29" i="4" s="1"/>
  <c r="A45" i="4"/>
  <c r="D45" i="4" s="1"/>
  <c r="H47" i="4"/>
  <c r="A61" i="4"/>
  <c r="D61" i="4" s="1"/>
  <c r="H63" i="4"/>
  <c r="V79" i="4"/>
  <c r="V82" i="4"/>
  <c r="U86" i="4"/>
  <c r="F114" i="4"/>
  <c r="F103" i="4" s="1"/>
  <c r="L127" i="4"/>
  <c r="A25" i="5"/>
  <c r="D25" i="5" s="1"/>
  <c r="U86" i="5"/>
  <c r="L126" i="5"/>
  <c r="H36" i="2"/>
  <c r="A47" i="2"/>
  <c r="A29" i="3"/>
  <c r="D29" i="3" s="1"/>
  <c r="H31" i="3"/>
  <c r="A45" i="3"/>
  <c r="D45" i="3" s="1"/>
  <c r="H47" i="3"/>
  <c r="A61" i="3"/>
  <c r="D61" i="3" s="1"/>
  <c r="H63" i="3"/>
  <c r="V79" i="3"/>
  <c r="Z82" i="3"/>
  <c r="V83" i="3"/>
  <c r="R84" i="3"/>
  <c r="Z86" i="3"/>
  <c r="V87" i="3"/>
  <c r="R88" i="3"/>
  <c r="N94" i="3"/>
  <c r="L114" i="3"/>
  <c r="L103" i="3" s="1"/>
  <c r="J117" i="3"/>
  <c r="J106" i="3" s="1"/>
  <c r="G124" i="3"/>
  <c r="H126" i="3"/>
  <c r="I129" i="3"/>
  <c r="A36" i="4"/>
  <c r="D36" i="4" s="1"/>
  <c r="A52" i="4"/>
  <c r="D52" i="4" s="1"/>
  <c r="H54" i="4"/>
  <c r="W79" i="4"/>
  <c r="T80" i="4"/>
  <c r="W82" i="4"/>
  <c r="V86" i="4"/>
  <c r="G114" i="4"/>
  <c r="G103" i="4" s="1"/>
  <c r="H128" i="4"/>
  <c r="V80" i="5"/>
  <c r="H128" i="5"/>
  <c r="H38" i="3"/>
  <c r="A52" i="3"/>
  <c r="D52" i="3" s="1"/>
  <c r="H54" i="3"/>
  <c r="W79" i="3"/>
  <c r="W83" i="3"/>
  <c r="S84" i="3"/>
  <c r="W87" i="3"/>
  <c r="S88" i="3"/>
  <c r="N99" i="3"/>
  <c r="F115" i="3"/>
  <c r="F104" i="3" s="1"/>
  <c r="K117" i="3"/>
  <c r="K106" i="3" s="1"/>
  <c r="H124" i="3"/>
  <c r="I126" i="3"/>
  <c r="J129" i="3"/>
  <c r="A27" i="4"/>
  <c r="D27" i="4" s="1"/>
  <c r="A43" i="4"/>
  <c r="D43" i="4" s="1"/>
  <c r="A59" i="4"/>
  <c r="D59" i="4" s="1"/>
  <c r="H61" i="4"/>
  <c r="X79" i="4"/>
  <c r="U80" i="4"/>
  <c r="T81" i="4"/>
  <c r="Y82" i="4"/>
  <c r="Q85" i="4"/>
  <c r="Y86" i="4"/>
  <c r="Q88" i="4"/>
  <c r="G115" i="4"/>
  <c r="G104" i="4" s="1"/>
  <c r="K129" i="4"/>
  <c r="A26" i="5"/>
  <c r="D26" i="5" s="1"/>
  <c r="Q87" i="5"/>
  <c r="H44" i="6"/>
  <c r="H37" i="6"/>
  <c r="H46" i="6"/>
  <c r="H32" i="6"/>
  <c r="H41" i="6"/>
  <c r="H26" i="6"/>
  <c r="H29" i="3"/>
  <c r="H45" i="3"/>
  <c r="H35" i="7"/>
  <c r="H30" i="7"/>
  <c r="H39" i="7"/>
  <c r="H24" i="7"/>
  <c r="K36" i="2"/>
  <c r="A34" i="3"/>
  <c r="D34" i="3" s="1"/>
  <c r="H36" i="3"/>
  <c r="A50" i="3"/>
  <c r="D50" i="3" s="1"/>
  <c r="H52" i="3"/>
  <c r="Y79" i="3"/>
  <c r="U80" i="3"/>
  <c r="Y83" i="3"/>
  <c r="U84" i="3"/>
  <c r="Q85" i="3"/>
  <c r="Y87" i="3"/>
  <c r="U88" i="3"/>
  <c r="G113" i="3"/>
  <c r="G102" i="3" s="1"/>
  <c r="H115" i="3"/>
  <c r="H104" i="3" s="1"/>
  <c r="I118" i="3"/>
  <c r="I107" i="3" s="1"/>
  <c r="J124" i="3"/>
  <c r="K126" i="3"/>
  <c r="L129" i="3"/>
  <c r="A25" i="4"/>
  <c r="D25" i="4" s="1"/>
  <c r="A41" i="4"/>
  <c r="D41" i="4" s="1"/>
  <c r="A57" i="4"/>
  <c r="D57" i="4" s="1"/>
  <c r="H59" i="4"/>
  <c r="Z79" i="4"/>
  <c r="W80" i="4"/>
  <c r="X81" i="4"/>
  <c r="T85" i="4"/>
  <c r="U88" i="4"/>
  <c r="I116" i="4"/>
  <c r="I105" i="4" s="1"/>
  <c r="L127" i="5"/>
  <c r="I125" i="5"/>
  <c r="K120" i="5"/>
  <c r="K109" i="5" s="1"/>
  <c r="I116" i="5"/>
  <c r="I105" i="5" s="1"/>
  <c r="F114" i="5"/>
  <c r="F103" i="5" s="1"/>
  <c r="N96" i="5"/>
  <c r="W89" i="5"/>
  <c r="T86" i="5"/>
  <c r="X85" i="5"/>
  <c r="T82" i="5"/>
  <c r="X81" i="5"/>
  <c r="A51" i="5"/>
  <c r="D51" i="5" s="1"/>
  <c r="A35" i="5"/>
  <c r="D35" i="5" s="1"/>
  <c r="L132" i="5"/>
  <c r="K127" i="5"/>
  <c r="H125" i="5"/>
  <c r="L119" i="5"/>
  <c r="L108" i="5" s="1"/>
  <c r="H116" i="5"/>
  <c r="H105" i="5" s="1"/>
  <c r="V89" i="5"/>
  <c r="S86" i="5"/>
  <c r="W85" i="5"/>
  <c r="S82" i="5"/>
  <c r="W81" i="5"/>
  <c r="A60" i="5"/>
  <c r="D60" i="5" s="1"/>
  <c r="A44" i="5"/>
  <c r="D44" i="5" s="1"/>
  <c r="A28" i="5"/>
  <c r="D28" i="5" s="1"/>
  <c r="L131" i="5"/>
  <c r="J127" i="5"/>
  <c r="G125" i="5"/>
  <c r="K119" i="5"/>
  <c r="K108" i="5" s="1"/>
  <c r="G116" i="5"/>
  <c r="G105" i="5" s="1"/>
  <c r="L113" i="5"/>
  <c r="L102" i="5" s="1"/>
  <c r="U89" i="5"/>
  <c r="Z88" i="5"/>
  <c r="R86" i="5"/>
  <c r="V85" i="5"/>
  <c r="Z84" i="5"/>
  <c r="R82" i="5"/>
  <c r="V81" i="5"/>
  <c r="Z80" i="5"/>
  <c r="A53" i="5"/>
  <c r="D53" i="5" s="1"/>
  <c r="A37" i="5"/>
  <c r="D37" i="5" s="1"/>
  <c r="A21" i="5"/>
  <c r="K131" i="5"/>
  <c r="I127" i="5"/>
  <c r="F125" i="5"/>
  <c r="J119" i="5"/>
  <c r="J108" i="5" s="1"/>
  <c r="L115" i="5"/>
  <c r="L104" i="5" s="1"/>
  <c r="K113" i="5"/>
  <c r="K102" i="5" s="1"/>
  <c r="J107" i="5"/>
  <c r="N97" i="5"/>
  <c r="T89" i="5"/>
  <c r="Y88" i="5"/>
  <c r="Q86" i="5"/>
  <c r="U85" i="5"/>
  <c r="Y84" i="5"/>
  <c r="Q82" i="5"/>
  <c r="U81" i="5"/>
  <c r="Y80" i="5"/>
  <c r="A62" i="5"/>
  <c r="D62" i="5" s="1"/>
  <c r="A46" i="5"/>
  <c r="D46" i="5" s="1"/>
  <c r="A30" i="5"/>
  <c r="D30" i="5" s="1"/>
  <c r="L130" i="5"/>
  <c r="H127" i="5"/>
  <c r="L118" i="5"/>
  <c r="L107" i="5" s="1"/>
  <c r="K115" i="5"/>
  <c r="K104" i="5" s="1"/>
  <c r="J113" i="5"/>
  <c r="J102" i="5" s="1"/>
  <c r="S89" i="5"/>
  <c r="X88" i="5"/>
  <c r="T85" i="5"/>
  <c r="X84" i="5"/>
  <c r="T81" i="5"/>
  <c r="X80" i="5"/>
  <c r="A55" i="5"/>
  <c r="D55" i="5" s="1"/>
  <c r="A39" i="5"/>
  <c r="D39" i="5" s="1"/>
  <c r="A23" i="5"/>
  <c r="D23" i="5" s="1"/>
  <c r="K130" i="5"/>
  <c r="G127" i="5"/>
  <c r="L124" i="5"/>
  <c r="K118" i="5"/>
  <c r="K107" i="5" s="1"/>
  <c r="J115" i="5"/>
  <c r="J104" i="5" s="1"/>
  <c r="I113" i="5"/>
  <c r="I102" i="5" s="1"/>
  <c r="R89" i="5"/>
  <c r="W88" i="5"/>
  <c r="S85" i="5"/>
  <c r="W84" i="5"/>
  <c r="W80" i="5"/>
  <c r="A64" i="5"/>
  <c r="D64" i="5" s="1"/>
  <c r="A48" i="5"/>
  <c r="D48" i="5" s="1"/>
  <c r="A32" i="5"/>
  <c r="D32" i="5" s="1"/>
  <c r="L129" i="5"/>
  <c r="K126" i="5"/>
  <c r="J124" i="5"/>
  <c r="I118" i="5"/>
  <c r="I107" i="5" s="1"/>
  <c r="H115" i="5"/>
  <c r="H104" i="5" s="1"/>
  <c r="G113" i="5"/>
  <c r="G102" i="5" s="1"/>
  <c r="U88" i="5"/>
  <c r="Y87" i="5"/>
  <c r="Q85" i="5"/>
  <c r="U84" i="5"/>
  <c r="Y83" i="5"/>
  <c r="U80" i="5"/>
  <c r="Y79" i="5"/>
  <c r="A50" i="5"/>
  <c r="D50" i="5" s="1"/>
  <c r="K129" i="5"/>
  <c r="J126" i="5"/>
  <c r="I124" i="5"/>
  <c r="L117" i="5"/>
  <c r="L106" i="5" s="1"/>
  <c r="G115" i="5"/>
  <c r="G104" i="5" s="1"/>
  <c r="F113" i="5"/>
  <c r="F102" i="5" s="1"/>
  <c r="T88" i="5"/>
  <c r="X87" i="5"/>
  <c r="T84" i="5"/>
  <c r="X83" i="5"/>
  <c r="T80" i="5"/>
  <c r="X79" i="5"/>
  <c r="A59" i="5"/>
  <c r="D59" i="5" s="1"/>
  <c r="A43" i="5"/>
  <c r="D43" i="5" s="1"/>
  <c r="A27" i="5"/>
  <c r="D27" i="5" s="1"/>
  <c r="J129" i="5"/>
  <c r="I126" i="5"/>
  <c r="H124" i="5"/>
  <c r="K117" i="5"/>
  <c r="K106" i="5" s="1"/>
  <c r="F115" i="5"/>
  <c r="F104" i="5" s="1"/>
  <c r="N99" i="5"/>
  <c r="S88" i="5"/>
  <c r="W87" i="5"/>
  <c r="S84" i="5"/>
  <c r="W83" i="5"/>
  <c r="W79" i="5"/>
  <c r="A52" i="5"/>
  <c r="D52" i="5" s="1"/>
  <c r="A36" i="5"/>
  <c r="D36" i="5" s="1"/>
  <c r="I129" i="5"/>
  <c r="H126" i="5"/>
  <c r="G124" i="5"/>
  <c r="J117" i="5"/>
  <c r="J106" i="5" s="1"/>
  <c r="L114" i="5"/>
  <c r="L103" i="5" s="1"/>
  <c r="N94" i="5"/>
  <c r="R88" i="5"/>
  <c r="V87" i="5"/>
  <c r="Z86" i="5"/>
  <c r="R84" i="5"/>
  <c r="V83" i="5"/>
  <c r="Z82" i="5"/>
  <c r="V79" i="5"/>
  <c r="A61" i="5"/>
  <c r="D61" i="5" s="1"/>
  <c r="A45" i="5"/>
  <c r="D45" i="5" s="1"/>
  <c r="A29" i="5"/>
  <c r="D29" i="5" s="1"/>
  <c r="L128" i="5"/>
  <c r="G126" i="5"/>
  <c r="F124" i="5"/>
  <c r="I117" i="5"/>
  <c r="I106" i="5" s="1"/>
  <c r="K114" i="5"/>
  <c r="K103" i="5" s="1"/>
  <c r="Q88" i="5"/>
  <c r="U87" i="5"/>
  <c r="Y86" i="5"/>
  <c r="Q84" i="5"/>
  <c r="U83" i="5"/>
  <c r="Y82" i="5"/>
  <c r="U79" i="5"/>
  <c r="A54" i="5"/>
  <c r="D54" i="5" s="1"/>
  <c r="A38" i="5"/>
  <c r="D38" i="5" s="1"/>
  <c r="A22" i="5"/>
  <c r="D22" i="5" s="1"/>
  <c r="K128" i="5"/>
  <c r="F126" i="5"/>
  <c r="H117" i="5"/>
  <c r="H106" i="5" s="1"/>
  <c r="J114" i="5"/>
  <c r="J103" i="5" s="1"/>
  <c r="N100" i="5"/>
  <c r="T87" i="5"/>
  <c r="X86" i="5"/>
  <c r="T83" i="5"/>
  <c r="X82" i="5"/>
  <c r="T79" i="5"/>
  <c r="A63" i="5"/>
  <c r="D63" i="5" s="1"/>
  <c r="A47" i="5"/>
  <c r="D47" i="5" s="1"/>
  <c r="A31" i="5"/>
  <c r="D31" i="5" s="1"/>
  <c r="J128" i="5"/>
  <c r="L125" i="5"/>
  <c r="L116" i="5"/>
  <c r="L105" i="5" s="1"/>
  <c r="I114" i="5"/>
  <c r="I103" i="5" s="1"/>
  <c r="N95" i="5"/>
  <c r="Z89" i="5"/>
  <c r="S87" i="5"/>
  <c r="W86" i="5"/>
  <c r="S83" i="5"/>
  <c r="W82" i="5"/>
  <c r="A56" i="5"/>
  <c r="D56" i="5" s="1"/>
  <c r="A40" i="5"/>
  <c r="D40" i="5" s="1"/>
  <c r="A24" i="5"/>
  <c r="D24" i="5" s="1"/>
  <c r="I128" i="5"/>
  <c r="K125" i="5"/>
  <c r="L121" i="5"/>
  <c r="L110" i="5" s="1"/>
  <c r="K116" i="5"/>
  <c r="K105" i="5" s="1"/>
  <c r="H114" i="5"/>
  <c r="H103" i="5" s="1"/>
  <c r="Y89" i="5"/>
  <c r="R87" i="5"/>
  <c r="V86" i="5"/>
  <c r="Z85" i="5"/>
  <c r="R83" i="5"/>
  <c r="V82" i="5"/>
  <c r="Z81" i="5"/>
  <c r="A65" i="5"/>
  <c r="D65" i="5" s="1"/>
  <c r="A49" i="5"/>
  <c r="D49" i="5" s="1"/>
  <c r="A33" i="5"/>
  <c r="D33" i="5" s="1"/>
  <c r="Y81" i="5"/>
  <c r="A25" i="3"/>
  <c r="D25" i="3" s="1"/>
  <c r="H27" i="3"/>
  <c r="A41" i="3"/>
  <c r="D41" i="3" s="1"/>
  <c r="H43" i="3"/>
  <c r="A57" i="3"/>
  <c r="D57" i="3" s="1"/>
  <c r="H59" i="3"/>
  <c r="Z79" i="3"/>
  <c r="V80" i="3"/>
  <c r="Z83" i="3"/>
  <c r="V84" i="3"/>
  <c r="R85" i="3"/>
  <c r="Z87" i="3"/>
  <c r="V88" i="3"/>
  <c r="Q89" i="3"/>
  <c r="N98" i="3"/>
  <c r="H113" i="3"/>
  <c r="H102" i="3" s="1"/>
  <c r="I115" i="3"/>
  <c r="I104" i="3" s="1"/>
  <c r="J118" i="3"/>
  <c r="J107" i="3" s="1"/>
  <c r="K124" i="3"/>
  <c r="L126" i="3"/>
  <c r="J130" i="3"/>
  <c r="A32" i="4"/>
  <c r="D32" i="4" s="1"/>
  <c r="A48" i="4"/>
  <c r="D48" i="4" s="1"/>
  <c r="A64" i="4"/>
  <c r="D64" i="4" s="1"/>
  <c r="X80" i="4"/>
  <c r="Y81" i="4"/>
  <c r="U85" i="4"/>
  <c r="V88" i="4"/>
  <c r="J116" i="4"/>
  <c r="J105" i="4" s="1"/>
  <c r="A41" i="5"/>
  <c r="D41" i="5" s="1"/>
  <c r="V88" i="5"/>
  <c r="A32" i="3"/>
  <c r="D32" i="3" s="1"/>
  <c r="H34" i="3"/>
  <c r="A48" i="3"/>
  <c r="D48" i="3" s="1"/>
  <c r="H50" i="3"/>
  <c r="A64" i="3"/>
  <c r="D64" i="3" s="1"/>
  <c r="W80" i="3"/>
  <c r="W84" i="3"/>
  <c r="S85" i="3"/>
  <c r="W88" i="3"/>
  <c r="R89" i="3"/>
  <c r="F102" i="3"/>
  <c r="G104" i="3"/>
  <c r="L106" i="3"/>
  <c r="I113" i="3"/>
  <c r="I102" i="3" s="1"/>
  <c r="J115" i="3"/>
  <c r="J104" i="3" s="1"/>
  <c r="K118" i="3"/>
  <c r="K107" i="3" s="1"/>
  <c r="L124" i="3"/>
  <c r="G127" i="3"/>
  <c r="K130" i="3"/>
  <c r="A23" i="4"/>
  <c r="D23" i="4" s="1"/>
  <c r="A39" i="4"/>
  <c r="D39" i="4" s="1"/>
  <c r="H41" i="4"/>
  <c r="A55" i="4"/>
  <c r="D55" i="4" s="1"/>
  <c r="H57" i="4"/>
  <c r="Y80" i="4"/>
  <c r="Z81" i="4"/>
  <c r="Q84" i="4"/>
  <c r="X85" i="4"/>
  <c r="X88" i="4"/>
  <c r="L117" i="4"/>
  <c r="L106" i="4" s="1"/>
  <c r="A34" i="5"/>
  <c r="D34" i="5" s="1"/>
  <c r="U82" i="5"/>
  <c r="A38" i="2"/>
  <c r="A23" i="3"/>
  <c r="D23" i="3" s="1"/>
  <c r="A39" i="3"/>
  <c r="D39" i="3" s="1"/>
  <c r="H41" i="3"/>
  <c r="A55" i="3"/>
  <c r="D55" i="3" s="1"/>
  <c r="H57" i="3"/>
  <c r="X80" i="3"/>
  <c r="T81" i="3"/>
  <c r="X84" i="3"/>
  <c r="T85" i="3"/>
  <c r="X88" i="3"/>
  <c r="S89" i="3"/>
  <c r="J113" i="3"/>
  <c r="J102" i="3" s="1"/>
  <c r="K115" i="3"/>
  <c r="K104" i="3" s="1"/>
  <c r="L118" i="3"/>
  <c r="L107" i="3" s="1"/>
  <c r="H127" i="3"/>
  <c r="L130" i="3"/>
  <c r="A30" i="4"/>
  <c r="D30" i="4" s="1"/>
  <c r="H32" i="4"/>
  <c r="A46" i="4"/>
  <c r="D46" i="4" s="1"/>
  <c r="A62" i="4"/>
  <c r="D62" i="4" s="1"/>
  <c r="H64" i="4"/>
  <c r="C77" i="4" a="1"/>
  <c r="T84" i="4"/>
  <c r="Y85" i="4"/>
  <c r="I118" i="4"/>
  <c r="I107" i="4" s="1"/>
  <c r="A42" i="5"/>
  <c r="D42" i="5" s="1"/>
  <c r="A57" i="5"/>
  <c r="D57" i="5" s="1"/>
  <c r="Q89" i="5"/>
  <c r="A30" i="3"/>
  <c r="D30" i="3" s="1"/>
  <c r="A46" i="3"/>
  <c r="D46" i="3" s="1"/>
  <c r="A62" i="3"/>
  <c r="D62" i="3" s="1"/>
  <c r="Y80" i="3"/>
  <c r="U81" i="3"/>
  <c r="Q82" i="3"/>
  <c r="Y84" i="3"/>
  <c r="U85" i="3"/>
  <c r="Q86" i="3"/>
  <c r="Y88" i="3"/>
  <c r="T89" i="3"/>
  <c r="N97" i="3"/>
  <c r="K113" i="3"/>
  <c r="K102" i="3" s="1"/>
  <c r="L115" i="3"/>
  <c r="L104" i="3" s="1"/>
  <c r="J119" i="3"/>
  <c r="J108" i="3" s="1"/>
  <c r="F125" i="3"/>
  <c r="I127" i="3"/>
  <c r="K131" i="3"/>
  <c r="A21" i="4"/>
  <c r="A37" i="4"/>
  <c r="D37" i="4" s="1"/>
  <c r="H39" i="4"/>
  <c r="A53" i="4"/>
  <c r="D53" i="4" s="1"/>
  <c r="U84" i="4"/>
  <c r="Z85" i="4"/>
  <c r="Q87" i="4"/>
  <c r="K120" i="4"/>
  <c r="K109" i="4" s="1"/>
  <c r="Q83" i="5"/>
  <c r="X89" i="5"/>
  <c r="H113" i="5"/>
  <c r="H102" i="5" s="1"/>
  <c r="A21" i="3"/>
  <c r="A37" i="3"/>
  <c r="D37" i="3" s="1"/>
  <c r="A53" i="3"/>
  <c r="D53" i="3" s="1"/>
  <c r="Z80" i="3"/>
  <c r="V81" i="3"/>
  <c r="R82" i="3"/>
  <c r="Z84" i="3"/>
  <c r="V85" i="3"/>
  <c r="R86" i="3"/>
  <c r="Z88" i="3"/>
  <c r="U89" i="3"/>
  <c r="L113" i="3"/>
  <c r="L102" i="3" s="1"/>
  <c r="G116" i="3"/>
  <c r="G105" i="3" s="1"/>
  <c r="K119" i="3"/>
  <c r="K108" i="3" s="1"/>
  <c r="G125" i="3"/>
  <c r="J127" i="3"/>
  <c r="A28" i="4"/>
  <c r="D28" i="4" s="1"/>
  <c r="A44" i="4"/>
  <c r="D44" i="4" s="1"/>
  <c r="A60" i="4"/>
  <c r="D60" i="4" s="1"/>
  <c r="Q83" i="4"/>
  <c r="V84" i="4"/>
  <c r="R87" i="4"/>
  <c r="L120" i="4"/>
  <c r="L109" i="4" s="1"/>
  <c r="A58" i="5"/>
  <c r="D58" i="5" s="1"/>
  <c r="Z83" i="5"/>
  <c r="G114" i="5"/>
  <c r="G103" i="5" s="1"/>
  <c r="H28" i="6"/>
  <c r="H22" i="6"/>
  <c r="Z89" i="6"/>
  <c r="N95" i="6"/>
  <c r="I114" i="6"/>
  <c r="I103" i="6" s="1"/>
  <c r="L116" i="6"/>
  <c r="L105" i="6" s="1"/>
  <c r="L125" i="6"/>
  <c r="J128" i="6"/>
  <c r="X82" i="7"/>
  <c r="T83" i="7"/>
  <c r="Q84" i="7"/>
  <c r="H115" i="7"/>
  <c r="H104" i="7" s="1"/>
  <c r="K77" i="14"/>
  <c r="J77" i="14"/>
  <c r="I77" i="14"/>
  <c r="H77" i="14"/>
  <c r="G77" i="14"/>
  <c r="F77" i="14"/>
  <c r="E77" i="14"/>
  <c r="D77" i="14"/>
  <c r="C77" i="14"/>
  <c r="L77" i="14"/>
  <c r="H26" i="5"/>
  <c r="D24" i="6"/>
  <c r="H33" i="6"/>
  <c r="H49" i="6"/>
  <c r="A63" i="6"/>
  <c r="D63" i="6" s="1"/>
  <c r="H65" i="6"/>
  <c r="T79" i="6"/>
  <c r="X82" i="6"/>
  <c r="T83" i="6"/>
  <c r="X86" i="6"/>
  <c r="T87" i="6"/>
  <c r="N100" i="6"/>
  <c r="J114" i="6"/>
  <c r="J103" i="6" s="1"/>
  <c r="H117" i="6"/>
  <c r="H106" i="6" s="1"/>
  <c r="F126" i="6"/>
  <c r="K128" i="6"/>
  <c r="H40" i="7"/>
  <c r="A54" i="7"/>
  <c r="D54" i="7" s="1"/>
  <c r="H56" i="7"/>
  <c r="U79" i="7"/>
  <c r="Y82" i="7"/>
  <c r="U83" i="7"/>
  <c r="R84" i="7"/>
  <c r="K115" i="7"/>
  <c r="K104" i="7" s="1"/>
  <c r="F125" i="7"/>
  <c r="H33" i="5"/>
  <c r="H49" i="5"/>
  <c r="H65" i="5"/>
  <c r="H24" i="6"/>
  <c r="H40" i="6"/>
  <c r="A54" i="6"/>
  <c r="D54" i="6" s="1"/>
  <c r="H56" i="6"/>
  <c r="U79" i="6"/>
  <c r="Y82" i="6"/>
  <c r="U83" i="6"/>
  <c r="Q84" i="6"/>
  <c r="Y86" i="6"/>
  <c r="U87" i="6"/>
  <c r="Q88" i="6"/>
  <c r="L110" i="6"/>
  <c r="K114" i="6"/>
  <c r="K103" i="6" s="1"/>
  <c r="I117" i="6"/>
  <c r="I106" i="6" s="1"/>
  <c r="F124" i="6"/>
  <c r="G126" i="6"/>
  <c r="L128" i="6"/>
  <c r="D22" i="7"/>
  <c r="H31" i="7"/>
  <c r="A45" i="7"/>
  <c r="D45" i="7" s="1"/>
  <c r="H47" i="7"/>
  <c r="A61" i="7"/>
  <c r="D61" i="7" s="1"/>
  <c r="V79" i="7"/>
  <c r="Z82" i="7"/>
  <c r="V83" i="7"/>
  <c r="S84" i="7"/>
  <c r="Q87" i="7"/>
  <c r="Q88" i="7"/>
  <c r="S89" i="7"/>
  <c r="L115" i="7"/>
  <c r="L104" i="7" s="1"/>
  <c r="G125" i="7"/>
  <c r="H27" i="8"/>
  <c r="H45" i="8"/>
  <c r="H38" i="8"/>
  <c r="H33" i="8"/>
  <c r="H42" i="8"/>
  <c r="H24" i="5"/>
  <c r="H40" i="5"/>
  <c r="H56" i="5"/>
  <c r="H31" i="6"/>
  <c r="A45" i="6"/>
  <c r="D45" i="6" s="1"/>
  <c r="H47" i="6"/>
  <c r="A61" i="6"/>
  <c r="D61" i="6" s="1"/>
  <c r="H63" i="6"/>
  <c r="V79" i="6"/>
  <c r="Z82" i="6"/>
  <c r="V83" i="6"/>
  <c r="R84" i="6"/>
  <c r="Z86" i="6"/>
  <c r="V87" i="6"/>
  <c r="R88" i="6"/>
  <c r="N94" i="6"/>
  <c r="L114" i="6"/>
  <c r="L103" i="6" s="1"/>
  <c r="J117" i="6"/>
  <c r="J106" i="6" s="1"/>
  <c r="G124" i="6"/>
  <c r="H126" i="6"/>
  <c r="I129" i="6"/>
  <c r="H22" i="7"/>
  <c r="A36" i="7"/>
  <c r="D36" i="7" s="1"/>
  <c r="H38" i="7"/>
  <c r="A52" i="7"/>
  <c r="D52" i="7" s="1"/>
  <c r="H54" i="7"/>
  <c r="D79" i="7"/>
  <c r="W79" i="7"/>
  <c r="W83" i="7"/>
  <c r="T84" i="7"/>
  <c r="Q85" i="7"/>
  <c r="Q86" i="7"/>
  <c r="R87" i="7"/>
  <c r="R88" i="7"/>
  <c r="T89" i="7"/>
  <c r="G116" i="7"/>
  <c r="G105" i="7" s="1"/>
  <c r="J125" i="7"/>
  <c r="H63" i="5"/>
  <c r="H38" i="6"/>
  <c r="H54" i="6"/>
  <c r="D79" i="6"/>
  <c r="W79" i="6"/>
  <c r="W83" i="6"/>
  <c r="S84" i="6"/>
  <c r="W87" i="6"/>
  <c r="S88" i="6"/>
  <c r="N99" i="6"/>
  <c r="F115" i="6"/>
  <c r="F104" i="6" s="1"/>
  <c r="K117" i="6"/>
  <c r="K106" i="6" s="1"/>
  <c r="H124" i="6"/>
  <c r="I126" i="6"/>
  <c r="J129" i="6"/>
  <c r="H29" i="7"/>
  <c r="A43" i="7"/>
  <c r="D43" i="7" s="1"/>
  <c r="H45" i="7"/>
  <c r="A59" i="7"/>
  <c r="D59" i="7" s="1"/>
  <c r="X79" i="7"/>
  <c r="T80" i="7"/>
  <c r="X83" i="7"/>
  <c r="U84" i="7"/>
  <c r="R85" i="7"/>
  <c r="R86" i="7"/>
  <c r="S87" i="7"/>
  <c r="T88" i="7"/>
  <c r="U89" i="7"/>
  <c r="N94" i="7"/>
  <c r="J116" i="7"/>
  <c r="J105" i="7" s="1"/>
  <c r="G126" i="7"/>
  <c r="C77" i="8" a="1"/>
  <c r="H38" i="5"/>
  <c r="H54" i="5"/>
  <c r="A27" i="6"/>
  <c r="D27" i="6" s="1"/>
  <c r="H29" i="6"/>
  <c r="A43" i="6"/>
  <c r="D43" i="6" s="1"/>
  <c r="H45" i="6"/>
  <c r="A59" i="6"/>
  <c r="D59" i="6" s="1"/>
  <c r="H61" i="6"/>
  <c r="X79" i="6"/>
  <c r="T80" i="6"/>
  <c r="X83" i="6"/>
  <c r="T84" i="6"/>
  <c r="X87" i="6"/>
  <c r="T88" i="6"/>
  <c r="F113" i="6"/>
  <c r="F102" i="6" s="1"/>
  <c r="G115" i="6"/>
  <c r="G104" i="6" s="1"/>
  <c r="L117" i="6"/>
  <c r="L106" i="6" s="1"/>
  <c r="I124" i="6"/>
  <c r="J126" i="6"/>
  <c r="K129" i="6"/>
  <c r="A34" i="7"/>
  <c r="D34" i="7" s="1"/>
  <c r="H36" i="7"/>
  <c r="A50" i="7"/>
  <c r="D50" i="7" s="1"/>
  <c r="H52" i="7"/>
  <c r="Y79" i="7"/>
  <c r="U80" i="7"/>
  <c r="Y83" i="7"/>
  <c r="V84" i="7"/>
  <c r="T85" i="7"/>
  <c r="T86" i="7"/>
  <c r="T87" i="7"/>
  <c r="U88" i="7"/>
  <c r="X89" i="7"/>
  <c r="H117" i="7"/>
  <c r="H106" i="7" s="1"/>
  <c r="H126" i="7"/>
  <c r="H61" i="5"/>
  <c r="A34" i="6"/>
  <c r="D34" i="6" s="1"/>
  <c r="H36" i="6"/>
  <c r="A50" i="6"/>
  <c r="D50" i="6" s="1"/>
  <c r="H52" i="6"/>
  <c r="Y79" i="6"/>
  <c r="U80" i="6"/>
  <c r="Y83" i="6"/>
  <c r="U84" i="6"/>
  <c r="Q85" i="6"/>
  <c r="Y87" i="6"/>
  <c r="U88" i="6"/>
  <c r="G113" i="6"/>
  <c r="G102" i="6" s="1"/>
  <c r="H115" i="6"/>
  <c r="H104" i="6" s="1"/>
  <c r="I118" i="6"/>
  <c r="I107" i="6" s="1"/>
  <c r="J124" i="6"/>
  <c r="K126" i="6"/>
  <c r="L129" i="6"/>
  <c r="A25" i="7"/>
  <c r="H27" i="7"/>
  <c r="A41" i="7"/>
  <c r="D41" i="7" s="1"/>
  <c r="A57" i="7"/>
  <c r="D57" i="7" s="1"/>
  <c r="Z79" i="7"/>
  <c r="V80" i="7"/>
  <c r="Z83" i="7"/>
  <c r="X84" i="7"/>
  <c r="U85" i="7"/>
  <c r="U86" i="7"/>
  <c r="U87" i="7"/>
  <c r="X88" i="7"/>
  <c r="Y89" i="7"/>
  <c r="I117" i="7"/>
  <c r="I106" i="7" s="1"/>
  <c r="K126" i="7"/>
  <c r="H56" i="11"/>
  <c r="H65" i="11"/>
  <c r="H58" i="11"/>
  <c r="H60" i="11"/>
  <c r="H62" i="11"/>
  <c r="H64" i="11"/>
  <c r="H50" i="11"/>
  <c r="H54" i="11"/>
  <c r="H52" i="11"/>
  <c r="H59" i="6"/>
  <c r="V88" i="6"/>
  <c r="Q89" i="6"/>
  <c r="N98" i="6"/>
  <c r="H113" i="6"/>
  <c r="H102" i="6" s="1"/>
  <c r="I115" i="6"/>
  <c r="I104" i="6" s="1"/>
  <c r="J118" i="6"/>
  <c r="J107" i="6" s="1"/>
  <c r="K124" i="6"/>
  <c r="L126" i="6"/>
  <c r="J130" i="6"/>
  <c r="Y84" i="7"/>
  <c r="V85" i="7"/>
  <c r="V86" i="7"/>
  <c r="V87" i="7"/>
  <c r="Y88" i="7"/>
  <c r="J117" i="7"/>
  <c r="J106" i="7" s="1"/>
  <c r="H127" i="7"/>
  <c r="H50" i="8"/>
  <c r="H52" i="8"/>
  <c r="H54" i="8"/>
  <c r="H56" i="8"/>
  <c r="H65" i="8"/>
  <c r="H58" i="8"/>
  <c r="H60" i="8"/>
  <c r="H62" i="8"/>
  <c r="H41" i="7"/>
  <c r="Z84" i="7"/>
  <c r="W85" i="7"/>
  <c r="W86" i="7"/>
  <c r="X87" i="7"/>
  <c r="Z88" i="7"/>
  <c r="G113" i="7"/>
  <c r="G102" i="7" s="1"/>
  <c r="I118" i="7"/>
  <c r="I107" i="7" s="1"/>
  <c r="J127" i="7"/>
  <c r="H34" i="8"/>
  <c r="H29" i="8"/>
  <c r="H23" i="8"/>
  <c r="H57" i="6"/>
  <c r="X80" i="6"/>
  <c r="T81" i="6"/>
  <c r="X84" i="6"/>
  <c r="T85" i="6"/>
  <c r="X88" i="6"/>
  <c r="S89" i="6"/>
  <c r="J113" i="6"/>
  <c r="J102" i="6" s="1"/>
  <c r="K115" i="6"/>
  <c r="K104" i="6" s="1"/>
  <c r="L118" i="6"/>
  <c r="L107" i="6" s="1"/>
  <c r="H127" i="6"/>
  <c r="L130" i="6"/>
  <c r="H32" i="7"/>
  <c r="A62" i="7"/>
  <c r="D62" i="7" s="1"/>
  <c r="H64" i="7"/>
  <c r="Y80" i="7"/>
  <c r="U81" i="7"/>
  <c r="Q82" i="7"/>
  <c r="X85" i="7"/>
  <c r="X86" i="7"/>
  <c r="Y87" i="7"/>
  <c r="N97" i="7"/>
  <c r="J113" i="7"/>
  <c r="J102" i="7" s="1"/>
  <c r="L118" i="7"/>
  <c r="L107" i="7" s="1"/>
  <c r="H128" i="7"/>
  <c r="H41" i="5"/>
  <c r="H57" i="5"/>
  <c r="A46" i="6"/>
  <c r="D46" i="6" s="1"/>
  <c r="A62" i="6"/>
  <c r="D62" i="6" s="1"/>
  <c r="H64" i="6"/>
  <c r="C77" i="6" a="1"/>
  <c r="Y80" i="6"/>
  <c r="U81" i="6"/>
  <c r="Q82" i="6"/>
  <c r="Y84" i="6"/>
  <c r="U85" i="6"/>
  <c r="Q86" i="6"/>
  <c r="Y88" i="6"/>
  <c r="T89" i="6"/>
  <c r="N97" i="6"/>
  <c r="K113" i="6"/>
  <c r="K102" i="6" s="1"/>
  <c r="L115" i="6"/>
  <c r="L104" i="6" s="1"/>
  <c r="J119" i="6"/>
  <c r="J108" i="6" s="1"/>
  <c r="F125" i="6"/>
  <c r="I127" i="6"/>
  <c r="K131" i="6"/>
  <c r="A37" i="7"/>
  <c r="D37" i="7" s="1"/>
  <c r="A53" i="7"/>
  <c r="D53" i="7" s="1"/>
  <c r="Z80" i="7"/>
  <c r="V81" i="7"/>
  <c r="R82" i="7"/>
  <c r="Y85" i="7"/>
  <c r="Y86" i="7"/>
  <c r="K113" i="7"/>
  <c r="K102" i="7" s="1"/>
  <c r="J119" i="7"/>
  <c r="J108" i="7" s="1"/>
  <c r="L128" i="7"/>
  <c r="H47" i="8"/>
  <c r="H32" i="5"/>
  <c r="H64" i="5"/>
  <c r="C77" i="5" a="1"/>
  <c r="H39" i="6"/>
  <c r="H55" i="6"/>
  <c r="Z80" i="6"/>
  <c r="V81" i="6"/>
  <c r="R82" i="6"/>
  <c r="Z84" i="6"/>
  <c r="V85" i="6"/>
  <c r="R86" i="6"/>
  <c r="Z88" i="6"/>
  <c r="U89" i="6"/>
  <c r="I102" i="6"/>
  <c r="L113" i="6"/>
  <c r="L102" i="6" s="1"/>
  <c r="G116" i="6"/>
  <c r="G105" i="6" s="1"/>
  <c r="K119" i="6"/>
  <c r="K108" i="6" s="1"/>
  <c r="G125" i="6"/>
  <c r="J127" i="6"/>
  <c r="L131" i="6"/>
  <c r="A44" i="7"/>
  <c r="D44" i="7" s="1"/>
  <c r="H46" i="7"/>
  <c r="A60" i="7"/>
  <c r="D60" i="7" s="1"/>
  <c r="H62" i="7"/>
  <c r="W81" i="7"/>
  <c r="S82" i="7"/>
  <c r="Z85" i="7"/>
  <c r="Z86" i="7"/>
  <c r="L113" i="7"/>
  <c r="L102" i="7" s="1"/>
  <c r="K119" i="7"/>
  <c r="K108" i="7" s="1"/>
  <c r="I129" i="7"/>
  <c r="H39" i="5"/>
  <c r="H55" i="5"/>
  <c r="H62" i="6"/>
  <c r="W81" i="6"/>
  <c r="S82" i="6"/>
  <c r="W85" i="6"/>
  <c r="S86" i="6"/>
  <c r="V89" i="6"/>
  <c r="H116" i="6"/>
  <c r="H105" i="6" s="1"/>
  <c r="L119" i="6"/>
  <c r="L108" i="6" s="1"/>
  <c r="H125" i="6"/>
  <c r="K127" i="6"/>
  <c r="L132" i="6"/>
  <c r="H37" i="7"/>
  <c r="A51" i="7"/>
  <c r="D51" i="7" s="1"/>
  <c r="X81" i="7"/>
  <c r="T82" i="7"/>
  <c r="G114" i="7"/>
  <c r="G103" i="7" s="1"/>
  <c r="L120" i="7"/>
  <c r="L109" i="7" s="1"/>
  <c r="H48" i="8"/>
  <c r="H46" i="5"/>
  <c r="A35" i="6"/>
  <c r="D35" i="6" s="1"/>
  <c r="A51" i="6"/>
  <c r="D51" i="6" s="1"/>
  <c r="X81" i="6"/>
  <c r="T82" i="6"/>
  <c r="X85" i="6"/>
  <c r="T86" i="6"/>
  <c r="W89" i="6"/>
  <c r="N96" i="6"/>
  <c r="F114" i="6"/>
  <c r="F103" i="6" s="1"/>
  <c r="I116" i="6"/>
  <c r="I105" i="6" s="1"/>
  <c r="K120" i="6"/>
  <c r="K109" i="6" s="1"/>
  <c r="I125" i="6"/>
  <c r="L127" i="6"/>
  <c r="K130" i="7"/>
  <c r="G127" i="7"/>
  <c r="L124" i="7"/>
  <c r="K118" i="7"/>
  <c r="K107" i="7" s="1"/>
  <c r="J115" i="7"/>
  <c r="J104" i="7" s="1"/>
  <c r="I113" i="7"/>
  <c r="I102" i="7" s="1"/>
  <c r="R89" i="7"/>
  <c r="W88" i="7"/>
  <c r="S85" i="7"/>
  <c r="W84" i="7"/>
  <c r="J130" i="7"/>
  <c r="L126" i="7"/>
  <c r="K124" i="7"/>
  <c r="J118" i="7"/>
  <c r="J107" i="7" s="1"/>
  <c r="I115" i="7"/>
  <c r="I104" i="7" s="1"/>
  <c r="H113" i="7"/>
  <c r="H102" i="7" s="1"/>
  <c r="N98" i="7"/>
  <c r="Q89" i="7"/>
  <c r="V88" i="7"/>
  <c r="Z87" i="7"/>
  <c r="L129" i="7"/>
  <c r="K129" i="7"/>
  <c r="J126" i="7"/>
  <c r="I124" i="7"/>
  <c r="L117" i="7"/>
  <c r="L106" i="7" s="1"/>
  <c r="G115" i="7"/>
  <c r="G104" i="7" s="1"/>
  <c r="F113" i="7"/>
  <c r="F102" i="7" s="1"/>
  <c r="J129" i="7"/>
  <c r="I126" i="7"/>
  <c r="H124" i="7"/>
  <c r="K117" i="7"/>
  <c r="K106" i="7" s="1"/>
  <c r="F115" i="7"/>
  <c r="F104" i="7" s="1"/>
  <c r="N99" i="7"/>
  <c r="S88" i="7"/>
  <c r="W87" i="7"/>
  <c r="K128" i="7"/>
  <c r="F126" i="7"/>
  <c r="J128" i="7"/>
  <c r="L125" i="7"/>
  <c r="L116" i="7"/>
  <c r="L105" i="7" s="1"/>
  <c r="I114" i="7"/>
  <c r="I103" i="7" s="1"/>
  <c r="N95" i="7"/>
  <c r="Z89" i="7"/>
  <c r="I128" i="7"/>
  <c r="K125" i="7"/>
  <c r="L121" i="7"/>
  <c r="L110" i="7" s="1"/>
  <c r="K116" i="7"/>
  <c r="K105" i="7" s="1"/>
  <c r="H114" i="7"/>
  <c r="H103" i="7" s="1"/>
  <c r="L127" i="7"/>
  <c r="I125" i="7"/>
  <c r="K120" i="7"/>
  <c r="K109" i="7" s="1"/>
  <c r="I116" i="7"/>
  <c r="I105" i="7" s="1"/>
  <c r="F114" i="7"/>
  <c r="F103" i="7" s="1"/>
  <c r="N96" i="7"/>
  <c r="W89" i="7"/>
  <c r="L132" i="7"/>
  <c r="K127" i="7"/>
  <c r="H125" i="7"/>
  <c r="L119" i="7"/>
  <c r="L108" i="7" s="1"/>
  <c r="H116" i="7"/>
  <c r="H105" i="7" s="1"/>
  <c r="V89" i="7"/>
  <c r="S86" i="7"/>
  <c r="K131" i="7"/>
  <c r="I127" i="7"/>
  <c r="A26" i="7"/>
  <c r="D26" i="7" s="1"/>
  <c r="A42" i="7"/>
  <c r="D42" i="7" s="1"/>
  <c r="A58" i="7"/>
  <c r="D58" i="7" s="1"/>
  <c r="Y81" i="7"/>
  <c r="U82" i="7"/>
  <c r="Q83" i="7"/>
  <c r="N100" i="7"/>
  <c r="J114" i="7"/>
  <c r="J103" i="7" s="1"/>
  <c r="F124" i="7"/>
  <c r="L131" i="7"/>
  <c r="H25" i="8"/>
  <c r="H43" i="8"/>
  <c r="H36" i="8"/>
  <c r="H40" i="8"/>
  <c r="H64" i="8"/>
  <c r="A26" i="6"/>
  <c r="A42" i="6"/>
  <c r="D42" i="6" s="1"/>
  <c r="A58" i="6"/>
  <c r="D58" i="6" s="1"/>
  <c r="Y81" i="6"/>
  <c r="U82" i="6"/>
  <c r="Q83" i="6"/>
  <c r="Y85" i="6"/>
  <c r="U86" i="6"/>
  <c r="Q87" i="6"/>
  <c r="X89" i="6"/>
  <c r="G114" i="6"/>
  <c r="G103" i="6" s="1"/>
  <c r="J116" i="6"/>
  <c r="J105" i="6" s="1"/>
  <c r="L120" i="6"/>
  <c r="L109" i="6" s="1"/>
  <c r="J125" i="6"/>
  <c r="A33" i="7"/>
  <c r="D33" i="7" s="1"/>
  <c r="A49" i="7"/>
  <c r="D49" i="7" s="1"/>
  <c r="A65" i="7"/>
  <c r="D65" i="7" s="1"/>
  <c r="Z81" i="7"/>
  <c r="V82" i="7"/>
  <c r="R83" i="7"/>
  <c r="K114" i="7"/>
  <c r="K103" i="7" s="1"/>
  <c r="G124" i="7"/>
  <c r="A53" i="8"/>
  <c r="D53" i="8" s="1"/>
  <c r="H55" i="8"/>
  <c r="Z80" i="8"/>
  <c r="V81" i="8"/>
  <c r="R82" i="8"/>
  <c r="Z84" i="8"/>
  <c r="V85" i="8"/>
  <c r="R86" i="8"/>
  <c r="Z88" i="8"/>
  <c r="U89" i="8"/>
  <c r="F113" i="8"/>
  <c r="F102" i="8" s="1"/>
  <c r="G124" i="8"/>
  <c r="L132" i="8"/>
  <c r="H25" i="9"/>
  <c r="H43" i="9"/>
  <c r="H31" i="9"/>
  <c r="A43" i="10"/>
  <c r="D43" i="10" s="1"/>
  <c r="A59" i="10"/>
  <c r="D59" i="10" s="1"/>
  <c r="X83" i="10"/>
  <c r="G115" i="10"/>
  <c r="G104" i="10" s="1"/>
  <c r="W81" i="8"/>
  <c r="S82" i="8"/>
  <c r="W85" i="8"/>
  <c r="S86" i="8"/>
  <c r="V89" i="8"/>
  <c r="L113" i="8"/>
  <c r="L102" i="8" s="1"/>
  <c r="H124" i="8"/>
  <c r="R84" i="10"/>
  <c r="J117" i="10"/>
  <c r="J106" i="10" s="1"/>
  <c r="A35" i="8"/>
  <c r="D35" i="8" s="1"/>
  <c r="H37" i="8"/>
  <c r="A51" i="8"/>
  <c r="D51" i="8" s="1"/>
  <c r="H53" i="8"/>
  <c r="X81" i="8"/>
  <c r="T82" i="8"/>
  <c r="X85" i="8"/>
  <c r="T86" i="8"/>
  <c r="W89" i="8"/>
  <c r="H36" i="9"/>
  <c r="T84" i="10"/>
  <c r="L117" i="10"/>
  <c r="L106" i="10" s="1"/>
  <c r="J128" i="8"/>
  <c r="L125" i="8"/>
  <c r="L116" i="8"/>
  <c r="L105" i="8" s="1"/>
  <c r="I114" i="8"/>
  <c r="I103" i="8" s="1"/>
  <c r="I128" i="8"/>
  <c r="K125" i="8"/>
  <c r="L121" i="8"/>
  <c r="L110" i="8" s="1"/>
  <c r="K116" i="8"/>
  <c r="K105" i="8" s="1"/>
  <c r="H114" i="8"/>
  <c r="H103" i="8" s="1"/>
  <c r="H128" i="8"/>
  <c r="J125" i="8"/>
  <c r="L120" i="8"/>
  <c r="L109" i="8" s="1"/>
  <c r="J116" i="8"/>
  <c r="J105" i="8" s="1"/>
  <c r="G114" i="8"/>
  <c r="G103" i="8" s="1"/>
  <c r="L127" i="8"/>
  <c r="I125" i="8"/>
  <c r="K120" i="8"/>
  <c r="K109" i="8" s="1"/>
  <c r="I116" i="8"/>
  <c r="I105" i="8" s="1"/>
  <c r="F114" i="8"/>
  <c r="F103" i="8" s="1"/>
  <c r="N96" i="8"/>
  <c r="K131" i="8"/>
  <c r="I127" i="8"/>
  <c r="F125" i="8"/>
  <c r="J119" i="8"/>
  <c r="J108" i="8" s="1"/>
  <c r="L115" i="8"/>
  <c r="L104" i="8" s="1"/>
  <c r="K113" i="8"/>
  <c r="K102" i="8" s="1"/>
  <c r="N97" i="8"/>
  <c r="L130" i="8"/>
  <c r="H127" i="8"/>
  <c r="L118" i="8"/>
  <c r="L107" i="8" s="1"/>
  <c r="K115" i="8"/>
  <c r="K104" i="8" s="1"/>
  <c r="J113" i="8"/>
  <c r="J102" i="8" s="1"/>
  <c r="K130" i="8"/>
  <c r="G127" i="8"/>
  <c r="L124" i="8"/>
  <c r="K118" i="8"/>
  <c r="K107" i="8" s="1"/>
  <c r="J115" i="8"/>
  <c r="J104" i="8" s="1"/>
  <c r="I113" i="8"/>
  <c r="I102" i="8" s="1"/>
  <c r="J130" i="8"/>
  <c r="L126" i="8"/>
  <c r="K124" i="8"/>
  <c r="J118" i="8"/>
  <c r="J107" i="8" s="1"/>
  <c r="I115" i="8"/>
  <c r="I104" i="8" s="1"/>
  <c r="H113" i="8"/>
  <c r="H102" i="8" s="1"/>
  <c r="N98" i="8"/>
  <c r="L129" i="8"/>
  <c r="K126" i="8"/>
  <c r="J124" i="8"/>
  <c r="I118" i="8"/>
  <c r="I107" i="8" s="1"/>
  <c r="H115" i="8"/>
  <c r="H104" i="8" s="1"/>
  <c r="G113" i="8"/>
  <c r="G102" i="8" s="1"/>
  <c r="L128" i="8"/>
  <c r="G126" i="8"/>
  <c r="F124" i="8"/>
  <c r="I117" i="8"/>
  <c r="I106" i="8" s="1"/>
  <c r="K114" i="8"/>
  <c r="K103" i="8" s="1"/>
  <c r="A26" i="8"/>
  <c r="D26" i="8" s="1"/>
  <c r="A42" i="8"/>
  <c r="D42" i="8" s="1"/>
  <c r="H44" i="8"/>
  <c r="A58" i="8"/>
  <c r="D58" i="8" s="1"/>
  <c r="Y81" i="8"/>
  <c r="U82" i="8"/>
  <c r="Q83" i="8"/>
  <c r="Y85" i="8"/>
  <c r="U86" i="8"/>
  <c r="Q87" i="8"/>
  <c r="X89" i="8"/>
  <c r="N94" i="8"/>
  <c r="J114" i="8"/>
  <c r="J103" i="8" s="1"/>
  <c r="G125" i="8"/>
  <c r="C77" i="9" a="1"/>
  <c r="D22" i="9"/>
  <c r="G124" i="10"/>
  <c r="A65" i="8"/>
  <c r="D65" i="8" s="1"/>
  <c r="Z81" i="8"/>
  <c r="V82" i="8"/>
  <c r="R83" i="8"/>
  <c r="Z85" i="8"/>
  <c r="V86" i="8"/>
  <c r="R87" i="8"/>
  <c r="Y89" i="8"/>
  <c r="L114" i="8"/>
  <c r="L103" i="8" s="1"/>
  <c r="H125" i="8"/>
  <c r="I124" i="10"/>
  <c r="A24" i="8"/>
  <c r="D24" i="8" s="1"/>
  <c r="H26" i="8"/>
  <c r="A40" i="8"/>
  <c r="D40" i="8" s="1"/>
  <c r="A56" i="8"/>
  <c r="D56" i="8" s="1"/>
  <c r="W82" i="8"/>
  <c r="S83" i="8"/>
  <c r="W86" i="8"/>
  <c r="S87" i="8"/>
  <c r="Z89" i="8"/>
  <c r="F115" i="8"/>
  <c r="F104" i="8" s="1"/>
  <c r="F126" i="8"/>
  <c r="H33" i="9"/>
  <c r="H42" i="9"/>
  <c r="H48" i="9"/>
  <c r="H27" i="9"/>
  <c r="H47" i="9"/>
  <c r="A45" i="10"/>
  <c r="D45" i="10" s="1"/>
  <c r="A61" i="10"/>
  <c r="D61" i="10" s="1"/>
  <c r="V79" i="10"/>
  <c r="H126" i="10"/>
  <c r="A31" i="8"/>
  <c r="D31" i="8" s="1"/>
  <c r="A47" i="8"/>
  <c r="D47" i="8" s="1"/>
  <c r="H49" i="8"/>
  <c r="A63" i="8"/>
  <c r="D63" i="8" s="1"/>
  <c r="T79" i="8"/>
  <c r="X82" i="8"/>
  <c r="T83" i="8"/>
  <c r="X86" i="8"/>
  <c r="T87" i="8"/>
  <c r="N99" i="8"/>
  <c r="G115" i="8"/>
  <c r="G104" i="8" s="1"/>
  <c r="H126" i="8"/>
  <c r="A26" i="10"/>
  <c r="D26" i="10" s="1"/>
  <c r="X79" i="10"/>
  <c r="J126" i="10"/>
  <c r="H31" i="11"/>
  <c r="H40" i="11"/>
  <c r="H25" i="11"/>
  <c r="H43" i="11"/>
  <c r="A54" i="8"/>
  <c r="D54" i="8" s="1"/>
  <c r="U79" i="8"/>
  <c r="Y82" i="8"/>
  <c r="U83" i="8"/>
  <c r="Q84" i="8"/>
  <c r="Y86" i="8"/>
  <c r="U87" i="8"/>
  <c r="Q88" i="8"/>
  <c r="G116" i="8"/>
  <c r="G105" i="8" s="1"/>
  <c r="I126" i="8"/>
  <c r="Z86" i="10"/>
  <c r="D79" i="8"/>
  <c r="W79" i="8"/>
  <c r="W83" i="8"/>
  <c r="S84" i="8"/>
  <c r="W87" i="8"/>
  <c r="S88" i="8"/>
  <c r="H117" i="8"/>
  <c r="H106" i="8" s="1"/>
  <c r="J127" i="8"/>
  <c r="L128" i="10"/>
  <c r="G126" i="10"/>
  <c r="F124" i="10"/>
  <c r="I117" i="10"/>
  <c r="I106" i="10" s="1"/>
  <c r="K114" i="10"/>
  <c r="K103" i="10" s="1"/>
  <c r="Q88" i="10"/>
  <c r="U87" i="10"/>
  <c r="Y86" i="10"/>
  <c r="Q84" i="10"/>
  <c r="U83" i="10"/>
  <c r="Y82" i="10"/>
  <c r="U79" i="10"/>
  <c r="A54" i="10"/>
  <c r="D54" i="10" s="1"/>
  <c r="A38" i="10"/>
  <c r="D38" i="10" s="1"/>
  <c r="A22" i="10"/>
  <c r="D22" i="10" s="1"/>
  <c r="K128" i="10"/>
  <c r="F126" i="10"/>
  <c r="H117" i="10"/>
  <c r="H106" i="10" s="1"/>
  <c r="J114" i="10"/>
  <c r="J103" i="10" s="1"/>
  <c r="N100" i="10"/>
  <c r="T87" i="10"/>
  <c r="X86" i="10"/>
  <c r="T83" i="10"/>
  <c r="X82" i="10"/>
  <c r="T79" i="10"/>
  <c r="A63" i="10"/>
  <c r="D63" i="10" s="1"/>
  <c r="A47" i="10"/>
  <c r="D47" i="10" s="1"/>
  <c r="A31" i="10"/>
  <c r="D31" i="10" s="1"/>
  <c r="J128" i="10"/>
  <c r="L125" i="10"/>
  <c r="L116" i="10"/>
  <c r="L105" i="10" s="1"/>
  <c r="I114" i="10"/>
  <c r="I103" i="10" s="1"/>
  <c r="N95" i="10"/>
  <c r="Z89" i="10"/>
  <c r="S87" i="10"/>
  <c r="W86" i="10"/>
  <c r="S83" i="10"/>
  <c r="W82" i="10"/>
  <c r="A56" i="10"/>
  <c r="D56" i="10" s="1"/>
  <c r="A40" i="10"/>
  <c r="D40" i="10" s="1"/>
  <c r="A24" i="10"/>
  <c r="D24" i="10" s="1"/>
  <c r="I128" i="10"/>
  <c r="K125" i="10"/>
  <c r="L121" i="10"/>
  <c r="L110" i="10" s="1"/>
  <c r="K116" i="10"/>
  <c r="K105" i="10" s="1"/>
  <c r="H114" i="10"/>
  <c r="H103" i="10" s="1"/>
  <c r="Y89" i="10"/>
  <c r="R87" i="10"/>
  <c r="V86" i="10"/>
  <c r="Z85" i="10"/>
  <c r="R83" i="10"/>
  <c r="V82" i="10"/>
  <c r="Z81" i="10"/>
  <c r="A65" i="10"/>
  <c r="D65" i="10" s="1"/>
  <c r="A49" i="10"/>
  <c r="D49" i="10" s="1"/>
  <c r="A33" i="10"/>
  <c r="D33" i="10" s="1"/>
  <c r="H128" i="10"/>
  <c r="J125" i="10"/>
  <c r="L120" i="10"/>
  <c r="L109" i="10" s="1"/>
  <c r="J116" i="10"/>
  <c r="J105" i="10" s="1"/>
  <c r="G114" i="10"/>
  <c r="G103" i="10" s="1"/>
  <c r="X89" i="10"/>
  <c r="Q87" i="10"/>
  <c r="U86" i="10"/>
  <c r="Y85" i="10"/>
  <c r="Q83" i="10"/>
  <c r="U82" i="10"/>
  <c r="Y81" i="10"/>
  <c r="A58" i="10"/>
  <c r="D58" i="10" s="1"/>
  <c r="L127" i="10"/>
  <c r="I125" i="10"/>
  <c r="K120" i="10"/>
  <c r="K109" i="10" s="1"/>
  <c r="I116" i="10"/>
  <c r="I105" i="10" s="1"/>
  <c r="F114" i="10"/>
  <c r="F103" i="10" s="1"/>
  <c r="N96" i="10"/>
  <c r="W89" i="10"/>
  <c r="T86" i="10"/>
  <c r="X85" i="10"/>
  <c r="T82" i="10"/>
  <c r="X81" i="10"/>
  <c r="A51" i="10"/>
  <c r="D51" i="10" s="1"/>
  <c r="A35" i="10"/>
  <c r="D35" i="10" s="1"/>
  <c r="L132" i="10"/>
  <c r="K127" i="10"/>
  <c r="H125" i="10"/>
  <c r="L119" i="10"/>
  <c r="L108" i="10" s="1"/>
  <c r="H116" i="10"/>
  <c r="H105" i="10" s="1"/>
  <c r="V89" i="10"/>
  <c r="S86" i="10"/>
  <c r="W85" i="10"/>
  <c r="S82" i="10"/>
  <c r="W81" i="10"/>
  <c r="A60" i="10"/>
  <c r="D60" i="10" s="1"/>
  <c r="A44" i="10"/>
  <c r="D44" i="10" s="1"/>
  <c r="A28" i="10"/>
  <c r="D28" i="10" s="1"/>
  <c r="L131" i="10"/>
  <c r="J127" i="10"/>
  <c r="G125" i="10"/>
  <c r="K119" i="10"/>
  <c r="K108" i="10" s="1"/>
  <c r="G116" i="10"/>
  <c r="G105" i="10" s="1"/>
  <c r="L113" i="10"/>
  <c r="L102" i="10" s="1"/>
  <c r="U89" i="10"/>
  <c r="Z88" i="10"/>
  <c r="R86" i="10"/>
  <c r="V85" i="10"/>
  <c r="Z84" i="10"/>
  <c r="R82" i="10"/>
  <c r="V81" i="10"/>
  <c r="Z80" i="10"/>
  <c r="A53" i="10"/>
  <c r="D53" i="10" s="1"/>
  <c r="A37" i="10"/>
  <c r="D37" i="10" s="1"/>
  <c r="A21" i="10"/>
  <c r="K131" i="10"/>
  <c r="I127" i="10"/>
  <c r="F125" i="10"/>
  <c r="J119" i="10"/>
  <c r="J108" i="10" s="1"/>
  <c r="L115" i="10"/>
  <c r="L104" i="10" s="1"/>
  <c r="K113" i="10"/>
  <c r="K102" i="10" s="1"/>
  <c r="N97" i="10"/>
  <c r="T89" i="10"/>
  <c r="Y88" i="10"/>
  <c r="Q86" i="10"/>
  <c r="U85" i="10"/>
  <c r="Y84" i="10"/>
  <c r="Q82" i="10"/>
  <c r="U81" i="10"/>
  <c r="Y80" i="10"/>
  <c r="A62" i="10"/>
  <c r="D62" i="10" s="1"/>
  <c r="A46" i="10"/>
  <c r="D46" i="10" s="1"/>
  <c r="A30" i="10"/>
  <c r="D30" i="10" s="1"/>
  <c r="L130" i="10"/>
  <c r="H127" i="10"/>
  <c r="L118" i="10"/>
  <c r="L107" i="10" s="1"/>
  <c r="K115" i="10"/>
  <c r="K104" i="10" s="1"/>
  <c r="J113" i="10"/>
  <c r="J102" i="10" s="1"/>
  <c r="S89" i="10"/>
  <c r="X88" i="10"/>
  <c r="T85" i="10"/>
  <c r="X84" i="10"/>
  <c r="T81" i="10"/>
  <c r="X80" i="10"/>
  <c r="A55" i="10"/>
  <c r="D55" i="10" s="1"/>
  <c r="A39" i="10"/>
  <c r="D39" i="10" s="1"/>
  <c r="A23" i="10"/>
  <c r="D23" i="10" s="1"/>
  <c r="K130" i="10"/>
  <c r="G127" i="10"/>
  <c r="L124" i="10"/>
  <c r="K118" i="10"/>
  <c r="K107" i="10" s="1"/>
  <c r="J115" i="10"/>
  <c r="J104" i="10" s="1"/>
  <c r="I113" i="10"/>
  <c r="I102" i="10" s="1"/>
  <c r="R89" i="10"/>
  <c r="W88" i="10"/>
  <c r="S85" i="10"/>
  <c r="W84" i="10"/>
  <c r="W80" i="10"/>
  <c r="A64" i="10"/>
  <c r="D64" i="10" s="1"/>
  <c r="A48" i="10"/>
  <c r="D48" i="10" s="1"/>
  <c r="A32" i="10"/>
  <c r="D32" i="10" s="1"/>
  <c r="J130" i="10"/>
  <c r="L126" i="10"/>
  <c r="K124" i="10"/>
  <c r="J118" i="10"/>
  <c r="J107" i="10" s="1"/>
  <c r="I115" i="10"/>
  <c r="I104" i="10" s="1"/>
  <c r="H113" i="10"/>
  <c r="H102" i="10" s="1"/>
  <c r="N98" i="10"/>
  <c r="Q89" i="10"/>
  <c r="V88" i="10"/>
  <c r="Z87" i="10"/>
  <c r="R85" i="10"/>
  <c r="V84" i="10"/>
  <c r="Z83" i="10"/>
  <c r="V80" i="10"/>
  <c r="Z79" i="10"/>
  <c r="A57" i="10"/>
  <c r="D57" i="10" s="1"/>
  <c r="A41" i="10"/>
  <c r="D41" i="10" s="1"/>
  <c r="A25" i="10"/>
  <c r="D25" i="10" s="1"/>
  <c r="L129" i="10"/>
  <c r="K126" i="10"/>
  <c r="J124" i="10"/>
  <c r="I118" i="10"/>
  <c r="I107" i="10" s="1"/>
  <c r="H115" i="10"/>
  <c r="H104" i="10" s="1"/>
  <c r="G113" i="10"/>
  <c r="G102" i="10" s="1"/>
  <c r="L103" i="10"/>
  <c r="U88" i="10"/>
  <c r="Y87" i="10"/>
  <c r="Q85" i="10"/>
  <c r="U84" i="10"/>
  <c r="Y83" i="10"/>
  <c r="U80" i="10"/>
  <c r="Y79" i="10"/>
  <c r="A50" i="10"/>
  <c r="D50" i="10" s="1"/>
  <c r="J129" i="10"/>
  <c r="I126" i="10"/>
  <c r="H124" i="10"/>
  <c r="K117" i="10"/>
  <c r="K106" i="10" s="1"/>
  <c r="F115" i="10"/>
  <c r="F104" i="10" s="1"/>
  <c r="N99" i="10"/>
  <c r="S88" i="10"/>
  <c r="W87" i="10"/>
  <c r="S84" i="10"/>
  <c r="W83" i="10"/>
  <c r="W79" i="10"/>
  <c r="A52" i="10"/>
  <c r="D52" i="10" s="1"/>
  <c r="A36" i="10"/>
  <c r="D36" i="10" s="1"/>
  <c r="V87" i="10"/>
  <c r="N94" i="10"/>
  <c r="A27" i="8"/>
  <c r="D27" i="8" s="1"/>
  <c r="A43" i="8"/>
  <c r="D43" i="8" s="1"/>
  <c r="A59" i="8"/>
  <c r="D59" i="8" s="1"/>
  <c r="H61" i="8"/>
  <c r="X79" i="8"/>
  <c r="T80" i="8"/>
  <c r="X83" i="8"/>
  <c r="T84" i="8"/>
  <c r="X87" i="8"/>
  <c r="T88" i="8"/>
  <c r="J117" i="8"/>
  <c r="J106" i="8" s="1"/>
  <c r="K127" i="8"/>
  <c r="H65" i="9"/>
  <c r="H58" i="9"/>
  <c r="H60" i="9"/>
  <c r="H62" i="9"/>
  <c r="H64" i="9"/>
  <c r="H50" i="9"/>
  <c r="X87" i="10"/>
  <c r="A34" i="8"/>
  <c r="D34" i="8" s="1"/>
  <c r="A50" i="8"/>
  <c r="D50" i="8" s="1"/>
  <c r="Y79" i="8"/>
  <c r="U80" i="8"/>
  <c r="Y83" i="8"/>
  <c r="U84" i="8"/>
  <c r="Q85" i="8"/>
  <c r="Y87" i="8"/>
  <c r="U88" i="8"/>
  <c r="N100" i="8"/>
  <c r="K117" i="8"/>
  <c r="K106" i="8" s="1"/>
  <c r="K128" i="8"/>
  <c r="H23" i="9"/>
  <c r="H34" i="9"/>
  <c r="R88" i="10"/>
  <c r="A57" i="8"/>
  <c r="D57" i="8" s="1"/>
  <c r="Z79" i="8"/>
  <c r="V80" i="8"/>
  <c r="Z83" i="8"/>
  <c r="V84" i="8"/>
  <c r="R85" i="8"/>
  <c r="Z87" i="8"/>
  <c r="V88" i="8"/>
  <c r="Q89" i="8"/>
  <c r="N95" i="8"/>
  <c r="L117" i="8"/>
  <c r="L106" i="8" s="1"/>
  <c r="I129" i="8"/>
  <c r="A34" i="10"/>
  <c r="D34" i="10" s="1"/>
  <c r="T88" i="10"/>
  <c r="H31" i="13"/>
  <c r="H40" i="13"/>
  <c r="H25" i="13"/>
  <c r="H43" i="13"/>
  <c r="H36" i="13"/>
  <c r="A32" i="8"/>
  <c r="D32" i="8" s="1"/>
  <c r="A48" i="8"/>
  <c r="D48" i="8" s="1"/>
  <c r="A64" i="8"/>
  <c r="D64" i="8" s="1"/>
  <c r="C80" i="8"/>
  <c r="W80" i="8"/>
  <c r="W84" i="8"/>
  <c r="S85" i="8"/>
  <c r="W88" i="8"/>
  <c r="R89" i="8"/>
  <c r="K119" i="8"/>
  <c r="K108" i="8" s="1"/>
  <c r="J129" i="8"/>
  <c r="Z82" i="10"/>
  <c r="A23" i="8"/>
  <c r="A39" i="8"/>
  <c r="D39" i="8" s="1"/>
  <c r="A55" i="8"/>
  <c r="D55" i="8" s="1"/>
  <c r="X80" i="8"/>
  <c r="T81" i="8"/>
  <c r="X84" i="8"/>
  <c r="T85" i="8"/>
  <c r="X88" i="8"/>
  <c r="S89" i="8"/>
  <c r="L119" i="8"/>
  <c r="L108" i="8" s="1"/>
  <c r="K129" i="8"/>
  <c r="D91" i="9"/>
  <c r="A29" i="10"/>
  <c r="D29" i="10" s="1"/>
  <c r="A42" i="10"/>
  <c r="D42" i="10" s="1"/>
  <c r="F113" i="10"/>
  <c r="F102" i="10" s="1"/>
  <c r="A29" i="9"/>
  <c r="D29" i="9" s="1"/>
  <c r="A45" i="9"/>
  <c r="D45" i="9" s="1"/>
  <c r="A61" i="9"/>
  <c r="D61" i="9" s="1"/>
  <c r="H63" i="9"/>
  <c r="V79" i="9"/>
  <c r="Z82" i="9"/>
  <c r="V83" i="9"/>
  <c r="R84" i="9"/>
  <c r="Z86" i="9"/>
  <c r="V87" i="9"/>
  <c r="R88" i="9"/>
  <c r="N94" i="9"/>
  <c r="L114" i="9"/>
  <c r="L103" i="9" s="1"/>
  <c r="J117" i="9"/>
  <c r="J106" i="9" s="1"/>
  <c r="G124" i="9"/>
  <c r="H126" i="9"/>
  <c r="I129" i="9"/>
  <c r="H38" i="10"/>
  <c r="H54" i="10"/>
  <c r="A27" i="11"/>
  <c r="D27" i="11" s="1"/>
  <c r="A43" i="11"/>
  <c r="D43" i="11" s="1"/>
  <c r="H45" i="11"/>
  <c r="A59" i="11"/>
  <c r="D59" i="11" s="1"/>
  <c r="H61" i="11"/>
  <c r="X79" i="11"/>
  <c r="T80" i="11"/>
  <c r="X83" i="11"/>
  <c r="T84" i="11"/>
  <c r="X87" i="11"/>
  <c r="T88" i="11"/>
  <c r="J117" i="11"/>
  <c r="J106" i="11" s="1"/>
  <c r="W84" i="11"/>
  <c r="S85" i="11"/>
  <c r="W88" i="11"/>
  <c r="R89" i="11"/>
  <c r="A25" i="9"/>
  <c r="D25" i="9" s="1"/>
  <c r="A41" i="9"/>
  <c r="D41" i="9" s="1"/>
  <c r="A57" i="9"/>
  <c r="D57" i="9" s="1"/>
  <c r="H59" i="9"/>
  <c r="Z79" i="9"/>
  <c r="V80" i="9"/>
  <c r="Z83" i="9"/>
  <c r="V84" i="9"/>
  <c r="R85" i="9"/>
  <c r="Z87" i="9"/>
  <c r="V88" i="9"/>
  <c r="Q89" i="9"/>
  <c r="N98" i="9"/>
  <c r="F104" i="9"/>
  <c r="H113" i="9"/>
  <c r="H102" i="9" s="1"/>
  <c r="I115" i="9"/>
  <c r="I104" i="9" s="1"/>
  <c r="J118" i="9"/>
  <c r="J107" i="9" s="1"/>
  <c r="K124" i="9"/>
  <c r="L126" i="9"/>
  <c r="J130" i="9"/>
  <c r="H34" i="10"/>
  <c r="H50" i="10"/>
  <c r="A23" i="11"/>
  <c r="D23" i="11" s="1"/>
  <c r="A39" i="11"/>
  <c r="D39" i="11" s="1"/>
  <c r="H41" i="11"/>
  <c r="A55" i="11"/>
  <c r="D55" i="11" s="1"/>
  <c r="H57" i="11"/>
  <c r="X80" i="11"/>
  <c r="T81" i="11"/>
  <c r="X84" i="11"/>
  <c r="T85" i="11"/>
  <c r="X88" i="11"/>
  <c r="S89" i="11"/>
  <c r="F124" i="11"/>
  <c r="H33" i="12"/>
  <c r="H42" i="12"/>
  <c r="H48" i="12"/>
  <c r="H27" i="12"/>
  <c r="H45" i="12"/>
  <c r="A32" i="9"/>
  <c r="D32" i="9" s="1"/>
  <c r="A48" i="9"/>
  <c r="D48" i="9" s="1"/>
  <c r="A64" i="9"/>
  <c r="D64" i="9" s="1"/>
  <c r="C80" i="9"/>
  <c r="W80" i="9"/>
  <c r="W84" i="9"/>
  <c r="S85" i="9"/>
  <c r="W88" i="9"/>
  <c r="R89" i="9"/>
  <c r="F102" i="9"/>
  <c r="L106" i="9"/>
  <c r="I113" i="9"/>
  <c r="I102" i="9" s="1"/>
  <c r="J115" i="9"/>
  <c r="J104" i="9" s="1"/>
  <c r="K118" i="9"/>
  <c r="K107" i="9" s="1"/>
  <c r="L124" i="9"/>
  <c r="G127" i="9"/>
  <c r="K130" i="9"/>
  <c r="H25" i="10"/>
  <c r="H41" i="10"/>
  <c r="H57" i="10"/>
  <c r="A30" i="11"/>
  <c r="D30" i="11" s="1"/>
  <c r="H32" i="11"/>
  <c r="A46" i="11"/>
  <c r="D46" i="11" s="1"/>
  <c r="H48" i="11"/>
  <c r="A62" i="11"/>
  <c r="D62" i="11" s="1"/>
  <c r="C77" i="11" a="1"/>
  <c r="Y80" i="11"/>
  <c r="U81" i="11"/>
  <c r="Q82" i="11"/>
  <c r="Y84" i="11"/>
  <c r="U85" i="11"/>
  <c r="Q86" i="11"/>
  <c r="Y88" i="11"/>
  <c r="T89" i="11"/>
  <c r="G124" i="11"/>
  <c r="A23" i="9"/>
  <c r="A39" i="9"/>
  <c r="D39" i="9" s="1"/>
  <c r="H41" i="9"/>
  <c r="A55" i="9"/>
  <c r="D55" i="9" s="1"/>
  <c r="H57" i="9"/>
  <c r="X80" i="9"/>
  <c r="T81" i="9"/>
  <c r="X84" i="9"/>
  <c r="T85" i="9"/>
  <c r="X88" i="9"/>
  <c r="S89" i="9"/>
  <c r="G102" i="9"/>
  <c r="I107" i="9"/>
  <c r="J113" i="9"/>
  <c r="J102" i="9" s="1"/>
  <c r="K115" i="9"/>
  <c r="K104" i="9" s="1"/>
  <c r="L118" i="9"/>
  <c r="L107" i="9" s="1"/>
  <c r="H127" i="9"/>
  <c r="L130" i="9"/>
  <c r="H32" i="10"/>
  <c r="H48" i="10"/>
  <c r="H64" i="10"/>
  <c r="C77" i="10" a="1"/>
  <c r="A21" i="11"/>
  <c r="A37" i="11"/>
  <c r="D37" i="11" s="1"/>
  <c r="H39" i="11"/>
  <c r="A53" i="11"/>
  <c r="D53" i="11" s="1"/>
  <c r="H55" i="11"/>
  <c r="Z80" i="11"/>
  <c r="V81" i="11"/>
  <c r="R82" i="11"/>
  <c r="Z84" i="11"/>
  <c r="V85" i="11"/>
  <c r="R86" i="11"/>
  <c r="Z88" i="11"/>
  <c r="U89" i="11"/>
  <c r="G113" i="11"/>
  <c r="G102" i="11" s="1"/>
  <c r="H124" i="11"/>
  <c r="A30" i="9"/>
  <c r="D30" i="9" s="1"/>
  <c r="H32" i="9"/>
  <c r="A46" i="9"/>
  <c r="D46" i="9" s="1"/>
  <c r="A62" i="9"/>
  <c r="D62" i="9" s="1"/>
  <c r="Y80" i="9"/>
  <c r="U81" i="9"/>
  <c r="Q82" i="9"/>
  <c r="Y84" i="9"/>
  <c r="U85" i="9"/>
  <c r="Q86" i="9"/>
  <c r="Y88" i="9"/>
  <c r="T89" i="9"/>
  <c r="N97" i="9"/>
  <c r="K113" i="9"/>
  <c r="K102" i="9" s="1"/>
  <c r="L115" i="9"/>
  <c r="L104" i="9" s="1"/>
  <c r="J119" i="9"/>
  <c r="J108" i="9" s="1"/>
  <c r="F125" i="9"/>
  <c r="I127" i="9"/>
  <c r="K131" i="9"/>
  <c r="H39" i="10"/>
  <c r="H55" i="10"/>
  <c r="A28" i="11"/>
  <c r="D28" i="11" s="1"/>
  <c r="H30" i="11"/>
  <c r="A44" i="11"/>
  <c r="D44" i="11" s="1"/>
  <c r="H46" i="11"/>
  <c r="A60" i="11"/>
  <c r="D60" i="11" s="1"/>
  <c r="W81" i="11"/>
  <c r="S82" i="11"/>
  <c r="W85" i="11"/>
  <c r="S86" i="11"/>
  <c r="V89" i="11"/>
  <c r="L113" i="11"/>
  <c r="L102" i="11" s="1"/>
  <c r="G125" i="11"/>
  <c r="C77" i="13" a="1"/>
  <c r="A37" i="9"/>
  <c r="D37" i="9" s="1"/>
  <c r="H39" i="9"/>
  <c r="A53" i="9"/>
  <c r="D53" i="9" s="1"/>
  <c r="H55" i="9"/>
  <c r="Z80" i="9"/>
  <c r="V81" i="9"/>
  <c r="R82" i="9"/>
  <c r="Z84" i="9"/>
  <c r="V85" i="9"/>
  <c r="R86" i="9"/>
  <c r="Z88" i="9"/>
  <c r="U89" i="9"/>
  <c r="L113" i="9"/>
  <c r="L102" i="9" s="1"/>
  <c r="G116" i="9"/>
  <c r="G105" i="9" s="1"/>
  <c r="K119" i="9"/>
  <c r="K108" i="9" s="1"/>
  <c r="G125" i="9"/>
  <c r="J127" i="9"/>
  <c r="L131" i="9"/>
  <c r="H30" i="10"/>
  <c r="H46" i="10"/>
  <c r="H62" i="10"/>
  <c r="A35" i="11"/>
  <c r="D35" i="11" s="1"/>
  <c r="H37" i="11"/>
  <c r="A51" i="11"/>
  <c r="D51" i="11" s="1"/>
  <c r="H53" i="11"/>
  <c r="X81" i="11"/>
  <c r="T82" i="11"/>
  <c r="X85" i="11"/>
  <c r="T86" i="11"/>
  <c r="W89" i="11"/>
  <c r="J114" i="11"/>
  <c r="J103" i="11" s="1"/>
  <c r="W85" i="9"/>
  <c r="S86" i="9"/>
  <c r="V89" i="9"/>
  <c r="H116" i="9"/>
  <c r="H105" i="9" s="1"/>
  <c r="L119" i="9"/>
  <c r="L108" i="9" s="1"/>
  <c r="H125" i="9"/>
  <c r="K127" i="9"/>
  <c r="L132" i="9"/>
  <c r="J128" i="11"/>
  <c r="L125" i="11"/>
  <c r="L116" i="11"/>
  <c r="L105" i="11" s="1"/>
  <c r="I114" i="11"/>
  <c r="I103" i="11" s="1"/>
  <c r="I128" i="11"/>
  <c r="K125" i="11"/>
  <c r="L121" i="11"/>
  <c r="L110" i="11" s="1"/>
  <c r="K116" i="11"/>
  <c r="K105" i="11" s="1"/>
  <c r="H114" i="11"/>
  <c r="H103" i="11" s="1"/>
  <c r="H128" i="11"/>
  <c r="J125" i="11"/>
  <c r="L120" i="11"/>
  <c r="L109" i="11" s="1"/>
  <c r="J116" i="11"/>
  <c r="J105" i="11" s="1"/>
  <c r="G114" i="11"/>
  <c r="G103" i="11" s="1"/>
  <c r="K108" i="11"/>
  <c r="L127" i="11"/>
  <c r="I125" i="11"/>
  <c r="K120" i="11"/>
  <c r="K109" i="11" s="1"/>
  <c r="I116" i="11"/>
  <c r="I105" i="11" s="1"/>
  <c r="F114" i="11"/>
  <c r="F103" i="11" s="1"/>
  <c r="N96" i="11"/>
  <c r="L132" i="11"/>
  <c r="K127" i="11"/>
  <c r="H125" i="11"/>
  <c r="L119" i="11"/>
  <c r="L108" i="11" s="1"/>
  <c r="H116" i="11"/>
  <c r="H105" i="11" s="1"/>
  <c r="K131" i="11"/>
  <c r="I127" i="11"/>
  <c r="F125" i="11"/>
  <c r="J119" i="11"/>
  <c r="J108" i="11" s="1"/>
  <c r="L115" i="11"/>
  <c r="L104" i="11" s="1"/>
  <c r="K113" i="11"/>
  <c r="K102" i="11" s="1"/>
  <c r="L130" i="11"/>
  <c r="H127" i="11"/>
  <c r="L118" i="11"/>
  <c r="L107" i="11" s="1"/>
  <c r="K115" i="11"/>
  <c r="K104" i="11" s="1"/>
  <c r="J113" i="11"/>
  <c r="J102" i="11" s="1"/>
  <c r="K130" i="11"/>
  <c r="G127" i="11"/>
  <c r="L124" i="11"/>
  <c r="K118" i="11"/>
  <c r="K107" i="11" s="1"/>
  <c r="J115" i="11"/>
  <c r="J104" i="11" s="1"/>
  <c r="I113" i="11"/>
  <c r="I102" i="11" s="1"/>
  <c r="J130" i="11"/>
  <c r="L126" i="11"/>
  <c r="K124" i="11"/>
  <c r="J118" i="11"/>
  <c r="J107" i="11" s="1"/>
  <c r="I115" i="11"/>
  <c r="I104" i="11" s="1"/>
  <c r="H113" i="11"/>
  <c r="H102" i="11" s="1"/>
  <c r="K106" i="11"/>
  <c r="L129" i="11"/>
  <c r="K126" i="11"/>
  <c r="J124" i="11"/>
  <c r="I118" i="11"/>
  <c r="I107" i="11" s="1"/>
  <c r="K129" i="11"/>
  <c r="J126" i="11"/>
  <c r="I124" i="11"/>
  <c r="L117" i="11"/>
  <c r="L106" i="11" s="1"/>
  <c r="G115" i="11"/>
  <c r="G104" i="11" s="1"/>
  <c r="F113" i="11"/>
  <c r="F102" i="11" s="1"/>
  <c r="I129" i="11"/>
  <c r="H126" i="11"/>
  <c r="A26" i="11"/>
  <c r="D26" i="11" s="1"/>
  <c r="A42" i="11"/>
  <c r="D42" i="11" s="1"/>
  <c r="H44" i="11"/>
  <c r="A58" i="11"/>
  <c r="D58" i="11" s="1"/>
  <c r="Y81" i="11"/>
  <c r="U82" i="11"/>
  <c r="Q83" i="11"/>
  <c r="Y85" i="11"/>
  <c r="U86" i="11"/>
  <c r="Q87" i="11"/>
  <c r="X89" i="11"/>
  <c r="K114" i="11"/>
  <c r="K103" i="11" s="1"/>
  <c r="G126" i="11"/>
  <c r="H56" i="12"/>
  <c r="H65" i="12"/>
  <c r="H58" i="12"/>
  <c r="H60" i="12"/>
  <c r="H62" i="12"/>
  <c r="H64" i="12"/>
  <c r="H50" i="12"/>
  <c r="H65" i="13"/>
  <c r="H58" i="13"/>
  <c r="H60" i="13"/>
  <c r="H50" i="13"/>
  <c r="H56" i="13"/>
  <c r="H52" i="13"/>
  <c r="H62" i="13"/>
  <c r="H54" i="13"/>
  <c r="Z85" i="11"/>
  <c r="V86" i="11"/>
  <c r="R87" i="11"/>
  <c r="Y89" i="11"/>
  <c r="N95" i="11"/>
  <c r="N98" i="11"/>
  <c r="L114" i="11"/>
  <c r="L103" i="11" s="1"/>
  <c r="I126" i="11"/>
  <c r="H23" i="12"/>
  <c r="H34" i="12"/>
  <c r="H29" i="12"/>
  <c r="A26" i="9"/>
  <c r="D26" i="9" s="1"/>
  <c r="A42" i="9"/>
  <c r="D42" i="9" s="1"/>
  <c r="H44" i="9"/>
  <c r="A58" i="9"/>
  <c r="D58" i="9" s="1"/>
  <c r="Y81" i="9"/>
  <c r="U82" i="9"/>
  <c r="Q83" i="9"/>
  <c r="Y85" i="9"/>
  <c r="U86" i="9"/>
  <c r="Q87" i="9"/>
  <c r="X89" i="9"/>
  <c r="G114" i="9"/>
  <c r="G103" i="9" s="1"/>
  <c r="J116" i="9"/>
  <c r="J105" i="9" s="1"/>
  <c r="L120" i="9"/>
  <c r="L109" i="9" s="1"/>
  <c r="J125" i="9"/>
  <c r="H128" i="9"/>
  <c r="H35" i="10"/>
  <c r="H51" i="10"/>
  <c r="A24" i="11"/>
  <c r="D24" i="11" s="1"/>
  <c r="A40" i="11"/>
  <c r="D40" i="11" s="1"/>
  <c r="H42" i="11"/>
  <c r="A56" i="11"/>
  <c r="D56" i="11" s="1"/>
  <c r="W82" i="11"/>
  <c r="S83" i="11"/>
  <c r="W86" i="11"/>
  <c r="S87" i="11"/>
  <c r="Z89" i="11"/>
  <c r="N100" i="11"/>
  <c r="F115" i="11"/>
  <c r="F104" i="11" s="1"/>
  <c r="J127" i="11"/>
  <c r="A33" i="9"/>
  <c r="D33" i="9" s="1"/>
  <c r="A49" i="9"/>
  <c r="D49" i="9" s="1"/>
  <c r="H51" i="9"/>
  <c r="A65" i="9"/>
  <c r="D65" i="9" s="1"/>
  <c r="Z81" i="9"/>
  <c r="V82" i="9"/>
  <c r="R83" i="9"/>
  <c r="Z85" i="9"/>
  <c r="V86" i="9"/>
  <c r="R87" i="9"/>
  <c r="Y89" i="9"/>
  <c r="H114" i="9"/>
  <c r="H103" i="9" s="1"/>
  <c r="K116" i="9"/>
  <c r="K105" i="9" s="1"/>
  <c r="L121" i="9"/>
  <c r="L110" i="9" s="1"/>
  <c r="K125" i="9"/>
  <c r="I128" i="9"/>
  <c r="H42" i="10"/>
  <c r="H58" i="10"/>
  <c r="A31" i="11"/>
  <c r="D31" i="11" s="1"/>
  <c r="H33" i="11"/>
  <c r="A47" i="11"/>
  <c r="D47" i="11" s="1"/>
  <c r="H49" i="11"/>
  <c r="A63" i="11"/>
  <c r="D63" i="11" s="1"/>
  <c r="T79" i="11"/>
  <c r="X82" i="11"/>
  <c r="T83" i="11"/>
  <c r="X86" i="11"/>
  <c r="T87" i="11"/>
  <c r="H115" i="11"/>
  <c r="H104" i="11" s="1"/>
  <c r="K128" i="11"/>
  <c r="H52" i="12"/>
  <c r="A24" i="9"/>
  <c r="D24" i="9" s="1"/>
  <c r="A40" i="9"/>
  <c r="D40" i="9" s="1"/>
  <c r="A56" i="9"/>
  <c r="D56" i="9" s="1"/>
  <c r="W82" i="9"/>
  <c r="S83" i="9"/>
  <c r="W86" i="9"/>
  <c r="S87" i="9"/>
  <c r="Z89" i="9"/>
  <c r="N95" i="9"/>
  <c r="F103" i="9"/>
  <c r="I105" i="9"/>
  <c r="I114" i="9"/>
  <c r="I103" i="9" s="1"/>
  <c r="L116" i="9"/>
  <c r="L105" i="9" s="1"/>
  <c r="L125" i="9"/>
  <c r="J128" i="9"/>
  <c r="H65" i="10"/>
  <c r="A22" i="11"/>
  <c r="D22" i="11" s="1"/>
  <c r="A38" i="11"/>
  <c r="D38" i="11" s="1"/>
  <c r="A54" i="11"/>
  <c r="D54" i="11" s="1"/>
  <c r="U79" i="11"/>
  <c r="Y82" i="11"/>
  <c r="U83" i="11"/>
  <c r="Q84" i="11"/>
  <c r="Y86" i="11"/>
  <c r="U87" i="11"/>
  <c r="Q88" i="11"/>
  <c r="G116" i="11"/>
  <c r="G105" i="11" s="1"/>
  <c r="L128" i="11"/>
  <c r="A31" i="9"/>
  <c r="D31" i="9" s="1"/>
  <c r="A47" i="9"/>
  <c r="D47" i="9" s="1"/>
  <c r="A63" i="9"/>
  <c r="D63" i="9" s="1"/>
  <c r="T79" i="9"/>
  <c r="I81" i="9"/>
  <c r="I93" i="9" s="1"/>
  <c r="X82" i="9"/>
  <c r="T83" i="9"/>
  <c r="X86" i="9"/>
  <c r="T87" i="9"/>
  <c r="N100" i="9"/>
  <c r="J114" i="9"/>
  <c r="J103" i="9" s="1"/>
  <c r="H117" i="9"/>
  <c r="H106" i="9" s="1"/>
  <c r="F126" i="9"/>
  <c r="A29" i="11"/>
  <c r="D29" i="11" s="1"/>
  <c r="A45" i="11"/>
  <c r="D45" i="11" s="1"/>
  <c r="A61" i="11"/>
  <c r="D61" i="11" s="1"/>
  <c r="V79" i="11"/>
  <c r="Z82" i="11"/>
  <c r="V83" i="11"/>
  <c r="R84" i="11"/>
  <c r="Z86" i="11"/>
  <c r="V87" i="11"/>
  <c r="R88" i="11"/>
  <c r="N94" i="11"/>
  <c r="H117" i="11"/>
  <c r="H106" i="11" s="1"/>
  <c r="J129" i="11"/>
  <c r="A27" i="12"/>
  <c r="D27" i="12" s="1"/>
  <c r="A43" i="12"/>
  <c r="D43" i="12" s="1"/>
  <c r="A59" i="12"/>
  <c r="D59" i="12" s="1"/>
  <c r="H61" i="12"/>
  <c r="X79" i="12"/>
  <c r="T80" i="12"/>
  <c r="X83" i="12"/>
  <c r="T84" i="12"/>
  <c r="X87" i="12"/>
  <c r="T88" i="12"/>
  <c r="F113" i="12"/>
  <c r="F102" i="12" s="1"/>
  <c r="G115" i="12"/>
  <c r="G104" i="12" s="1"/>
  <c r="L117" i="12"/>
  <c r="L106" i="12" s="1"/>
  <c r="I124" i="12"/>
  <c r="J126" i="12"/>
  <c r="K129" i="12"/>
  <c r="A34" i="13"/>
  <c r="D34" i="13" s="1"/>
  <c r="W81" i="13"/>
  <c r="W84" i="13"/>
  <c r="Q86" i="13"/>
  <c r="Q88" i="13"/>
  <c r="F124" i="13"/>
  <c r="A25" i="13"/>
  <c r="D25" i="13" s="1"/>
  <c r="A41" i="13"/>
  <c r="D41" i="13" s="1"/>
  <c r="Y81" i="13"/>
  <c r="Y84" i="13"/>
  <c r="R86" i="13"/>
  <c r="R88" i="13"/>
  <c r="H124" i="13"/>
  <c r="A25" i="12"/>
  <c r="D25" i="12" s="1"/>
  <c r="A41" i="12"/>
  <c r="D41" i="12" s="1"/>
  <c r="H43" i="12"/>
  <c r="A57" i="12"/>
  <c r="D57" i="12" s="1"/>
  <c r="H59" i="12"/>
  <c r="Z79" i="12"/>
  <c r="V80" i="12"/>
  <c r="Z83" i="12"/>
  <c r="V84" i="12"/>
  <c r="R85" i="12"/>
  <c r="Z87" i="12"/>
  <c r="V88" i="12"/>
  <c r="Q89" i="12"/>
  <c r="N98" i="12"/>
  <c r="K106" i="12"/>
  <c r="H113" i="12"/>
  <c r="H102" i="12" s="1"/>
  <c r="I115" i="12"/>
  <c r="I104" i="12" s="1"/>
  <c r="J118" i="12"/>
  <c r="J107" i="12" s="1"/>
  <c r="K124" i="12"/>
  <c r="L126" i="12"/>
  <c r="J130" i="12"/>
  <c r="A32" i="13"/>
  <c r="D32" i="13" s="1"/>
  <c r="A46" i="13"/>
  <c r="D46" i="13" s="1"/>
  <c r="Z84" i="13"/>
  <c r="S86" i="13"/>
  <c r="S88" i="13"/>
  <c r="I124" i="13"/>
  <c r="A32" i="12"/>
  <c r="D32" i="12" s="1"/>
  <c r="A48" i="12"/>
  <c r="D48" i="12" s="1"/>
  <c r="A64" i="12"/>
  <c r="D64" i="12" s="1"/>
  <c r="W80" i="12"/>
  <c r="W84" i="12"/>
  <c r="S85" i="12"/>
  <c r="W88" i="12"/>
  <c r="R89" i="12"/>
  <c r="I113" i="12"/>
  <c r="I102" i="12" s="1"/>
  <c r="J115" i="12"/>
  <c r="J104" i="12" s="1"/>
  <c r="K118" i="12"/>
  <c r="K107" i="12" s="1"/>
  <c r="L124" i="12"/>
  <c r="G127" i="12"/>
  <c r="K130" i="12"/>
  <c r="A23" i="13"/>
  <c r="D23" i="13" s="1"/>
  <c r="A39" i="13"/>
  <c r="D39" i="13" s="1"/>
  <c r="H41" i="13"/>
  <c r="A58" i="13"/>
  <c r="D58" i="13" s="1"/>
  <c r="A62" i="13"/>
  <c r="D62" i="13" s="1"/>
  <c r="T80" i="13"/>
  <c r="Q83" i="13"/>
  <c r="Y86" i="13"/>
  <c r="T88" i="13"/>
  <c r="H125" i="13"/>
  <c r="H43" i="15"/>
  <c r="H36" i="15"/>
  <c r="H31" i="15"/>
  <c r="H40" i="15"/>
  <c r="H25" i="15"/>
  <c r="A23" i="12"/>
  <c r="D23" i="12" s="1"/>
  <c r="H25" i="12"/>
  <c r="A39" i="12"/>
  <c r="D39" i="12" s="1"/>
  <c r="H41" i="12"/>
  <c r="A55" i="12"/>
  <c r="D55" i="12" s="1"/>
  <c r="H57" i="12"/>
  <c r="X80" i="12"/>
  <c r="T81" i="12"/>
  <c r="X84" i="12"/>
  <c r="T85" i="12"/>
  <c r="X88" i="12"/>
  <c r="S89" i="12"/>
  <c r="H104" i="12"/>
  <c r="I107" i="12"/>
  <c r="J113" i="12"/>
  <c r="J102" i="12" s="1"/>
  <c r="K115" i="12"/>
  <c r="K104" i="12" s="1"/>
  <c r="L118" i="12"/>
  <c r="L107" i="12" s="1"/>
  <c r="H127" i="12"/>
  <c r="L130" i="12"/>
  <c r="A30" i="13"/>
  <c r="D30" i="13" s="1"/>
  <c r="H32" i="13"/>
  <c r="H46" i="13"/>
  <c r="W80" i="13"/>
  <c r="U83" i="13"/>
  <c r="Z86" i="13"/>
  <c r="Z88" i="13"/>
  <c r="N99" i="13"/>
  <c r="G126" i="13"/>
  <c r="A30" i="12"/>
  <c r="D30" i="12" s="1"/>
  <c r="H32" i="12"/>
  <c r="A46" i="12"/>
  <c r="D46" i="12" s="1"/>
  <c r="A62" i="12"/>
  <c r="D62" i="12" s="1"/>
  <c r="C77" i="12" a="1"/>
  <c r="Y80" i="12"/>
  <c r="U81" i="12"/>
  <c r="Q82" i="12"/>
  <c r="Y84" i="12"/>
  <c r="U85" i="12"/>
  <c r="Q86" i="12"/>
  <c r="Y88" i="12"/>
  <c r="T89" i="12"/>
  <c r="N97" i="12"/>
  <c r="K113" i="12"/>
  <c r="K102" i="12" s="1"/>
  <c r="L115" i="12"/>
  <c r="L104" i="12" s="1"/>
  <c r="J119" i="12"/>
  <c r="J108" i="12" s="1"/>
  <c r="F125" i="12"/>
  <c r="I127" i="12"/>
  <c r="K131" i="12"/>
  <c r="A21" i="13"/>
  <c r="A37" i="13"/>
  <c r="D37" i="13" s="1"/>
  <c r="H39" i="13"/>
  <c r="A44" i="13"/>
  <c r="D44" i="13" s="1"/>
  <c r="A52" i="13"/>
  <c r="D52" i="13" s="1"/>
  <c r="Y80" i="13"/>
  <c r="V83" i="13"/>
  <c r="I126" i="13"/>
  <c r="D22" i="16"/>
  <c r="A21" i="12"/>
  <c r="A37" i="12"/>
  <c r="D37" i="12" s="1"/>
  <c r="H39" i="12"/>
  <c r="A53" i="12"/>
  <c r="D53" i="12" s="1"/>
  <c r="H55" i="12"/>
  <c r="Z80" i="12"/>
  <c r="V81" i="12"/>
  <c r="R82" i="12"/>
  <c r="Z84" i="12"/>
  <c r="V85" i="12"/>
  <c r="R86" i="12"/>
  <c r="Z88" i="12"/>
  <c r="U89" i="12"/>
  <c r="L113" i="12"/>
  <c r="L102" i="12" s="1"/>
  <c r="G116" i="12"/>
  <c r="G105" i="12" s="1"/>
  <c r="K119" i="12"/>
  <c r="K108" i="12" s="1"/>
  <c r="G125" i="12"/>
  <c r="J127" i="12"/>
  <c r="L131" i="12"/>
  <c r="D21" i="13"/>
  <c r="A28" i="13"/>
  <c r="D28" i="13" s="1"/>
  <c r="H30" i="13"/>
  <c r="H44" i="13"/>
  <c r="Z80" i="13"/>
  <c r="W83" i="13"/>
  <c r="F113" i="13"/>
  <c r="F102" i="13" s="1"/>
  <c r="J126" i="13"/>
  <c r="A28" i="12"/>
  <c r="D28" i="12" s="1"/>
  <c r="H30" i="12"/>
  <c r="A44" i="12"/>
  <c r="D44" i="12" s="1"/>
  <c r="H46" i="12"/>
  <c r="A60" i="12"/>
  <c r="D60" i="12" s="1"/>
  <c r="W81" i="12"/>
  <c r="S82" i="12"/>
  <c r="W85" i="12"/>
  <c r="S86" i="12"/>
  <c r="V89" i="12"/>
  <c r="H116" i="12"/>
  <c r="H105" i="12" s="1"/>
  <c r="L119" i="12"/>
  <c r="L108" i="12" s="1"/>
  <c r="H125" i="12"/>
  <c r="K127" i="12"/>
  <c r="L132" i="12"/>
  <c r="A35" i="13"/>
  <c r="D35" i="13" s="1"/>
  <c r="H37" i="13"/>
  <c r="A42" i="13"/>
  <c r="D42" i="13" s="1"/>
  <c r="H55" i="13"/>
  <c r="A59" i="13"/>
  <c r="D59" i="13" s="1"/>
  <c r="U79" i="13"/>
  <c r="Q82" i="13"/>
  <c r="X83" i="13"/>
  <c r="K128" i="13"/>
  <c r="F126" i="13"/>
  <c r="H117" i="13"/>
  <c r="H106" i="13" s="1"/>
  <c r="J114" i="13"/>
  <c r="J103" i="13" s="1"/>
  <c r="N100" i="13"/>
  <c r="T87" i="13"/>
  <c r="X86" i="13"/>
  <c r="T83" i="13"/>
  <c r="X82" i="13"/>
  <c r="T79" i="13"/>
  <c r="A63" i="13"/>
  <c r="D63" i="13" s="1"/>
  <c r="J128" i="13"/>
  <c r="L125" i="13"/>
  <c r="L116" i="13"/>
  <c r="L105" i="13" s="1"/>
  <c r="I114" i="13"/>
  <c r="I103" i="13" s="1"/>
  <c r="N95" i="13"/>
  <c r="Z89" i="13"/>
  <c r="S87" i="13"/>
  <c r="W86" i="13"/>
  <c r="S83" i="13"/>
  <c r="W82" i="13"/>
  <c r="I128" i="13"/>
  <c r="K125" i="13"/>
  <c r="L121" i="13"/>
  <c r="L110" i="13" s="1"/>
  <c r="K116" i="13"/>
  <c r="K105" i="13" s="1"/>
  <c r="H114" i="13"/>
  <c r="H103" i="13" s="1"/>
  <c r="Y89" i="13"/>
  <c r="R87" i="13"/>
  <c r="V86" i="13"/>
  <c r="Z85" i="13"/>
  <c r="R83" i="13"/>
  <c r="V82" i="13"/>
  <c r="Z81" i="13"/>
  <c r="A65" i="13"/>
  <c r="D65" i="13" s="1"/>
  <c r="A49" i="13"/>
  <c r="D49" i="13" s="1"/>
  <c r="H128" i="13"/>
  <c r="J125" i="13"/>
  <c r="L120" i="13"/>
  <c r="L109" i="13" s="1"/>
  <c r="J116" i="13"/>
  <c r="J105" i="13" s="1"/>
  <c r="G114" i="13"/>
  <c r="G103" i="13" s="1"/>
  <c r="X89" i="13"/>
  <c r="Q87" i="13"/>
  <c r="U86" i="13"/>
  <c r="Y85" i="13"/>
  <c r="L127" i="13"/>
  <c r="I125" i="13"/>
  <c r="K120" i="13"/>
  <c r="K109" i="13" s="1"/>
  <c r="I116" i="13"/>
  <c r="I105" i="13" s="1"/>
  <c r="F114" i="13"/>
  <c r="F103" i="13" s="1"/>
  <c r="N96" i="13"/>
  <c r="W89" i="13"/>
  <c r="T86" i="13"/>
  <c r="X85" i="13"/>
  <c r="T82" i="13"/>
  <c r="X81" i="13"/>
  <c r="A51" i="13"/>
  <c r="D51" i="13" s="1"/>
  <c r="L131" i="13"/>
  <c r="J127" i="13"/>
  <c r="G125" i="13"/>
  <c r="K119" i="13"/>
  <c r="K108" i="13" s="1"/>
  <c r="G116" i="13"/>
  <c r="G105" i="13" s="1"/>
  <c r="L113" i="13"/>
  <c r="L102" i="13" s="1"/>
  <c r="K131" i="13"/>
  <c r="I127" i="13"/>
  <c r="F125" i="13"/>
  <c r="J119" i="13"/>
  <c r="J108" i="13" s="1"/>
  <c r="L115" i="13"/>
  <c r="L104" i="13" s="1"/>
  <c r="K113" i="13"/>
  <c r="K102" i="13" s="1"/>
  <c r="N97" i="13"/>
  <c r="T89" i="13"/>
  <c r="Y88" i="13"/>
  <c r="L130" i="13"/>
  <c r="H127" i="13"/>
  <c r="L118" i="13"/>
  <c r="L107" i="13" s="1"/>
  <c r="K115" i="13"/>
  <c r="K104" i="13" s="1"/>
  <c r="J113" i="13"/>
  <c r="J102" i="13" s="1"/>
  <c r="S89" i="13"/>
  <c r="X88" i="13"/>
  <c r="T85" i="13"/>
  <c r="X84" i="13"/>
  <c r="T81" i="13"/>
  <c r="X80" i="13"/>
  <c r="A55" i="13"/>
  <c r="D55" i="13" s="1"/>
  <c r="K130" i="13"/>
  <c r="G127" i="13"/>
  <c r="L124" i="13"/>
  <c r="K118" i="13"/>
  <c r="K107" i="13" s="1"/>
  <c r="J115" i="13"/>
  <c r="J104" i="13" s="1"/>
  <c r="I113" i="13"/>
  <c r="I102" i="13" s="1"/>
  <c r="L106" i="13"/>
  <c r="R89" i="13"/>
  <c r="W88" i="13"/>
  <c r="J130" i="13"/>
  <c r="L126" i="13"/>
  <c r="K124" i="13"/>
  <c r="J118" i="13"/>
  <c r="J107" i="13" s="1"/>
  <c r="I115" i="13"/>
  <c r="I104" i="13" s="1"/>
  <c r="H113" i="13"/>
  <c r="H102" i="13" s="1"/>
  <c r="N98" i="13"/>
  <c r="Q89" i="13"/>
  <c r="V88" i="13"/>
  <c r="Z87" i="13"/>
  <c r="R85" i="13"/>
  <c r="V84" i="13"/>
  <c r="Z83" i="13"/>
  <c r="V80" i="13"/>
  <c r="Z79" i="13"/>
  <c r="A57" i="13"/>
  <c r="D57" i="13" s="1"/>
  <c r="L129" i="13"/>
  <c r="K126" i="13"/>
  <c r="J124" i="13"/>
  <c r="I118" i="13"/>
  <c r="I107" i="13" s="1"/>
  <c r="H115" i="13"/>
  <c r="H104" i="13" s="1"/>
  <c r="G113" i="13"/>
  <c r="G102" i="13" s="1"/>
  <c r="U88" i="13"/>
  <c r="Y87" i="13"/>
  <c r="Q85" i="13"/>
  <c r="U84" i="13"/>
  <c r="Y83" i="13"/>
  <c r="U80" i="13"/>
  <c r="Y79" i="13"/>
  <c r="I129" i="13"/>
  <c r="H126" i="13"/>
  <c r="G124" i="13"/>
  <c r="J117" i="13"/>
  <c r="J106" i="13" s="1"/>
  <c r="L114" i="13"/>
  <c r="L103" i="13" s="1"/>
  <c r="N94" i="13"/>
  <c r="A26" i="13"/>
  <c r="D26" i="13" s="1"/>
  <c r="A47" i="13"/>
  <c r="D47" i="13" s="1"/>
  <c r="V79" i="13"/>
  <c r="R82" i="13"/>
  <c r="S85" i="13"/>
  <c r="K114" i="13"/>
  <c r="K103" i="13" s="1"/>
  <c r="L128" i="13"/>
  <c r="A26" i="12"/>
  <c r="D26" i="12" s="1"/>
  <c r="A42" i="12"/>
  <c r="D42" i="12" s="1"/>
  <c r="H44" i="12"/>
  <c r="A58" i="12"/>
  <c r="D58" i="12" s="1"/>
  <c r="Y81" i="12"/>
  <c r="U82" i="12"/>
  <c r="Q83" i="12"/>
  <c r="Y85" i="12"/>
  <c r="U86" i="12"/>
  <c r="Q87" i="12"/>
  <c r="X89" i="12"/>
  <c r="G114" i="12"/>
  <c r="G103" i="12" s="1"/>
  <c r="J116" i="12"/>
  <c r="J105" i="12" s="1"/>
  <c r="L120" i="12"/>
  <c r="L109" i="12" s="1"/>
  <c r="J125" i="12"/>
  <c r="H128" i="12"/>
  <c r="A33" i="13"/>
  <c r="D33" i="13" s="1"/>
  <c r="H35" i="13"/>
  <c r="H42" i="13"/>
  <c r="W79" i="13"/>
  <c r="S82" i="13"/>
  <c r="U85" i="13"/>
  <c r="U89" i="13"/>
  <c r="F115" i="13"/>
  <c r="F104" i="13" s="1"/>
  <c r="J129" i="13"/>
  <c r="A33" i="12"/>
  <c r="D33" i="12" s="1"/>
  <c r="H35" i="12"/>
  <c r="A49" i="12"/>
  <c r="D49" i="12" s="1"/>
  <c r="H51" i="12"/>
  <c r="A65" i="12"/>
  <c r="D65" i="12" s="1"/>
  <c r="Z81" i="12"/>
  <c r="V82" i="12"/>
  <c r="R83" i="12"/>
  <c r="Z85" i="12"/>
  <c r="V86" i="12"/>
  <c r="R87" i="12"/>
  <c r="Y89" i="12"/>
  <c r="H114" i="12"/>
  <c r="H103" i="12" s="1"/>
  <c r="K116" i="12"/>
  <c r="K105" i="12" s="1"/>
  <c r="L121" i="12"/>
  <c r="L110" i="12" s="1"/>
  <c r="K125" i="12"/>
  <c r="I128" i="12"/>
  <c r="H49" i="13"/>
  <c r="H51" i="13"/>
  <c r="H53" i="13"/>
  <c r="H57" i="13"/>
  <c r="H59" i="13"/>
  <c r="A24" i="13"/>
  <c r="D24" i="13" s="1"/>
  <c r="A40" i="13"/>
  <c r="D40" i="13" s="1"/>
  <c r="H47" i="13"/>
  <c r="A56" i="13"/>
  <c r="D56" i="13" s="1"/>
  <c r="X79" i="13"/>
  <c r="U82" i="13"/>
  <c r="V85" i="13"/>
  <c r="U87" i="13"/>
  <c r="V89" i="13"/>
  <c r="G115" i="13"/>
  <c r="G104" i="13" s="1"/>
  <c r="K129" i="13"/>
  <c r="A24" i="12"/>
  <c r="D24" i="12" s="1"/>
  <c r="A40" i="12"/>
  <c r="D40" i="12" s="1"/>
  <c r="A56" i="12"/>
  <c r="D56" i="12" s="1"/>
  <c r="W82" i="12"/>
  <c r="S83" i="12"/>
  <c r="W86" i="12"/>
  <c r="S87" i="12"/>
  <c r="Z89" i="12"/>
  <c r="N95" i="12"/>
  <c r="K109" i="12"/>
  <c r="I114" i="12"/>
  <c r="I103" i="12" s="1"/>
  <c r="L116" i="12"/>
  <c r="L105" i="12" s="1"/>
  <c r="L125" i="12"/>
  <c r="J128" i="12"/>
  <c r="A31" i="13"/>
  <c r="D31" i="13" s="1"/>
  <c r="H33" i="13"/>
  <c r="A45" i="13"/>
  <c r="D45" i="13" s="1"/>
  <c r="A50" i="13"/>
  <c r="D50" i="13" s="1"/>
  <c r="A53" i="13"/>
  <c r="D53" i="13" s="1"/>
  <c r="A60" i="13"/>
  <c r="D60" i="13" s="1"/>
  <c r="Y82" i="13"/>
  <c r="W85" i="13"/>
  <c r="V87" i="13"/>
  <c r="H116" i="13"/>
  <c r="H105" i="13" s="1"/>
  <c r="L132" i="13"/>
  <c r="A31" i="12"/>
  <c r="D31" i="12" s="1"/>
  <c r="A47" i="12"/>
  <c r="D47" i="12" s="1"/>
  <c r="A63" i="12"/>
  <c r="D63" i="12" s="1"/>
  <c r="T79" i="12"/>
  <c r="X82" i="12"/>
  <c r="T83" i="12"/>
  <c r="X86" i="12"/>
  <c r="T87" i="12"/>
  <c r="N100" i="12"/>
  <c r="J114" i="12"/>
  <c r="J103" i="12" s="1"/>
  <c r="H117" i="12"/>
  <c r="H106" i="12" s="1"/>
  <c r="F126" i="12"/>
  <c r="K128" i="12"/>
  <c r="A22" i="13"/>
  <c r="D22" i="13" s="1"/>
  <c r="A38" i="13"/>
  <c r="D38" i="13" s="1"/>
  <c r="Z82" i="13"/>
  <c r="Q84" i="13"/>
  <c r="W87" i="13"/>
  <c r="I117" i="13"/>
  <c r="I106" i="13" s="1"/>
  <c r="H58" i="15"/>
  <c r="H60" i="15"/>
  <c r="H50" i="15"/>
  <c r="H52" i="15"/>
  <c r="H54" i="15"/>
  <c r="H62" i="15"/>
  <c r="H56" i="15"/>
  <c r="H65" i="15"/>
  <c r="A22" i="12"/>
  <c r="D22" i="12" s="1"/>
  <c r="A38" i="12"/>
  <c r="D38" i="12" s="1"/>
  <c r="A54" i="12"/>
  <c r="D54" i="12" s="1"/>
  <c r="U79" i="12"/>
  <c r="Y82" i="12"/>
  <c r="U83" i="12"/>
  <c r="Q84" i="12"/>
  <c r="Y86" i="12"/>
  <c r="U87" i="12"/>
  <c r="Q88" i="12"/>
  <c r="K114" i="12"/>
  <c r="K103" i="12" s="1"/>
  <c r="I117" i="12"/>
  <c r="I106" i="12" s="1"/>
  <c r="F124" i="12"/>
  <c r="G126" i="12"/>
  <c r="A29" i="13"/>
  <c r="D29" i="13" s="1"/>
  <c r="A64" i="13"/>
  <c r="D64" i="13" s="1"/>
  <c r="R84" i="13"/>
  <c r="X87" i="13"/>
  <c r="K117" i="13"/>
  <c r="K106" i="13" s="1"/>
  <c r="H38" i="14"/>
  <c r="H54" i="14"/>
  <c r="D79" i="14"/>
  <c r="W83" i="14"/>
  <c r="S84" i="14"/>
  <c r="W87" i="14"/>
  <c r="S88" i="14"/>
  <c r="N99" i="14"/>
  <c r="F115" i="14"/>
  <c r="F104" i="14" s="1"/>
  <c r="K117" i="14"/>
  <c r="K106" i="14" s="1"/>
  <c r="H124" i="14"/>
  <c r="I126" i="14"/>
  <c r="J129" i="14"/>
  <c r="A27" i="15"/>
  <c r="D27" i="15" s="1"/>
  <c r="H29" i="15"/>
  <c r="A47" i="15"/>
  <c r="D47" i="15" s="1"/>
  <c r="A60" i="15"/>
  <c r="D60" i="15" s="1"/>
  <c r="U79" i="15"/>
  <c r="T84" i="15"/>
  <c r="I124" i="15"/>
  <c r="L103" i="14"/>
  <c r="J106" i="14"/>
  <c r="G113" i="14"/>
  <c r="G102" i="14" s="1"/>
  <c r="H115" i="14"/>
  <c r="H104" i="14" s="1"/>
  <c r="I118" i="14"/>
  <c r="I107" i="14" s="1"/>
  <c r="J124" i="14"/>
  <c r="K126" i="14"/>
  <c r="L129" i="14"/>
  <c r="A43" i="15"/>
  <c r="D43" i="15" s="1"/>
  <c r="X79" i="15"/>
  <c r="S82" i="15"/>
  <c r="U87" i="15"/>
  <c r="F126" i="15"/>
  <c r="H27" i="14"/>
  <c r="A41" i="14"/>
  <c r="D41" i="14" s="1"/>
  <c r="H43" i="14"/>
  <c r="A57" i="14"/>
  <c r="D57" i="14" s="1"/>
  <c r="H59" i="14"/>
  <c r="Z79" i="14"/>
  <c r="V80" i="14"/>
  <c r="Z83" i="14"/>
  <c r="V84" i="14"/>
  <c r="R85" i="14"/>
  <c r="Z87" i="14"/>
  <c r="V88" i="14"/>
  <c r="Q89" i="14"/>
  <c r="N98" i="14"/>
  <c r="H113" i="14"/>
  <c r="H102" i="14" s="1"/>
  <c r="I115" i="14"/>
  <c r="I104" i="14" s="1"/>
  <c r="J118" i="14"/>
  <c r="J107" i="14" s="1"/>
  <c r="K124" i="14"/>
  <c r="L126" i="14"/>
  <c r="J130" i="14"/>
  <c r="H44" i="15"/>
  <c r="H37" i="15"/>
  <c r="H41" i="15"/>
  <c r="A32" i="15"/>
  <c r="D32" i="15" s="1"/>
  <c r="A37" i="15"/>
  <c r="D37" i="15" s="1"/>
  <c r="A61" i="15"/>
  <c r="D61" i="15" s="1"/>
  <c r="X82" i="15"/>
  <c r="W87" i="15"/>
  <c r="J114" i="15"/>
  <c r="J103" i="15" s="1"/>
  <c r="G126" i="15"/>
  <c r="A32" i="14"/>
  <c r="D32" i="14" s="1"/>
  <c r="H34" i="14"/>
  <c r="A48" i="14"/>
  <c r="D48" i="14" s="1"/>
  <c r="H50" i="14"/>
  <c r="A64" i="14"/>
  <c r="D64" i="14" s="1"/>
  <c r="C80" i="14"/>
  <c r="W80" i="14"/>
  <c r="W84" i="14"/>
  <c r="S85" i="14"/>
  <c r="W88" i="14"/>
  <c r="R89" i="14"/>
  <c r="I113" i="14"/>
  <c r="I102" i="14" s="1"/>
  <c r="J115" i="14"/>
  <c r="J104" i="14" s="1"/>
  <c r="K118" i="14"/>
  <c r="K107" i="14" s="1"/>
  <c r="L124" i="14"/>
  <c r="G127" i="14"/>
  <c r="K130" i="14"/>
  <c r="A23" i="15"/>
  <c r="D23" i="15" s="1"/>
  <c r="A52" i="15"/>
  <c r="D52" i="15" s="1"/>
  <c r="Y82" i="15"/>
  <c r="X87" i="15"/>
  <c r="K114" i="15"/>
  <c r="K103" i="15" s="1"/>
  <c r="I126" i="15"/>
  <c r="H25" i="14"/>
  <c r="X80" i="14"/>
  <c r="T81" i="14"/>
  <c r="X84" i="14"/>
  <c r="T85" i="14"/>
  <c r="X88" i="14"/>
  <c r="S89" i="14"/>
  <c r="J113" i="14"/>
  <c r="J102" i="14" s="1"/>
  <c r="K115" i="14"/>
  <c r="K104" i="14" s="1"/>
  <c r="L118" i="14"/>
  <c r="L107" i="14" s="1"/>
  <c r="H127" i="14"/>
  <c r="L130" i="14"/>
  <c r="A30" i="15"/>
  <c r="D30" i="15" s="1"/>
  <c r="A44" i="15"/>
  <c r="D44" i="15" s="1"/>
  <c r="F115" i="15"/>
  <c r="F104" i="15" s="1"/>
  <c r="J126" i="15"/>
  <c r="H21" i="18"/>
  <c r="C77" i="18" a="1"/>
  <c r="H50" i="18"/>
  <c r="H52" i="18"/>
  <c r="H56" i="18"/>
  <c r="H65" i="18"/>
  <c r="H58" i="18"/>
  <c r="H60" i="18"/>
  <c r="H64" i="18"/>
  <c r="H62" i="18"/>
  <c r="H54" i="18"/>
  <c r="A46" i="14"/>
  <c r="D46" i="14" s="1"/>
  <c r="H48" i="14"/>
  <c r="A62" i="14"/>
  <c r="D62" i="14" s="1"/>
  <c r="H64" i="14"/>
  <c r="Y80" i="14"/>
  <c r="U81" i="14"/>
  <c r="Q82" i="14"/>
  <c r="Y84" i="14"/>
  <c r="U85" i="14"/>
  <c r="Q86" i="14"/>
  <c r="Y88" i="14"/>
  <c r="T89" i="14"/>
  <c r="N97" i="14"/>
  <c r="K113" i="14"/>
  <c r="K102" i="14" s="1"/>
  <c r="L115" i="14"/>
  <c r="L104" i="14" s="1"/>
  <c r="J119" i="14"/>
  <c r="J108" i="14" s="1"/>
  <c r="F125" i="14"/>
  <c r="I127" i="14"/>
  <c r="K131" i="14"/>
  <c r="A21" i="15"/>
  <c r="H48" i="15"/>
  <c r="W85" i="15"/>
  <c r="G115" i="15"/>
  <c r="G104" i="15" s="1"/>
  <c r="K127" i="15"/>
  <c r="Z80" i="14"/>
  <c r="V81" i="14"/>
  <c r="R82" i="14"/>
  <c r="Z84" i="14"/>
  <c r="V85" i="14"/>
  <c r="R86" i="14"/>
  <c r="Z88" i="14"/>
  <c r="U89" i="14"/>
  <c r="L113" i="14"/>
  <c r="L102" i="14" s="1"/>
  <c r="G116" i="14"/>
  <c r="G105" i="14" s="1"/>
  <c r="K119" i="14"/>
  <c r="K108" i="14" s="1"/>
  <c r="G125" i="14"/>
  <c r="J127" i="14"/>
  <c r="L131" i="14"/>
  <c r="A28" i="15"/>
  <c r="D28" i="15" s="1"/>
  <c r="H30" i="15"/>
  <c r="A62" i="15"/>
  <c r="D62" i="15" s="1"/>
  <c r="T80" i="15"/>
  <c r="Q88" i="15"/>
  <c r="H116" i="15"/>
  <c r="H105" i="15" s="1"/>
  <c r="K128" i="15"/>
  <c r="H62" i="14"/>
  <c r="W81" i="14"/>
  <c r="S82" i="14"/>
  <c r="W85" i="14"/>
  <c r="S86" i="14"/>
  <c r="V89" i="14"/>
  <c r="H116" i="14"/>
  <c r="H105" i="14" s="1"/>
  <c r="L119" i="14"/>
  <c r="L108" i="14" s="1"/>
  <c r="H125" i="14"/>
  <c r="K127" i="14"/>
  <c r="L132" i="14"/>
  <c r="T83" i="15"/>
  <c r="S88" i="15"/>
  <c r="H117" i="15"/>
  <c r="H106" i="15" s="1"/>
  <c r="W89" i="14"/>
  <c r="N96" i="14"/>
  <c r="F114" i="14"/>
  <c r="F103" i="14" s="1"/>
  <c r="I116" i="14"/>
  <c r="I105" i="14" s="1"/>
  <c r="K120" i="14"/>
  <c r="K109" i="14" s="1"/>
  <c r="I125" i="14"/>
  <c r="L127" i="14"/>
  <c r="J128" i="15"/>
  <c r="L125" i="15"/>
  <c r="L116" i="15"/>
  <c r="L105" i="15" s="1"/>
  <c r="I114" i="15"/>
  <c r="I103" i="15" s="1"/>
  <c r="N95" i="15"/>
  <c r="Z89" i="15"/>
  <c r="S87" i="15"/>
  <c r="W86" i="15"/>
  <c r="S83" i="15"/>
  <c r="W82" i="15"/>
  <c r="A56" i="15"/>
  <c r="D56" i="15" s="1"/>
  <c r="A40" i="15"/>
  <c r="D40" i="15" s="1"/>
  <c r="I128" i="15"/>
  <c r="K125" i="15"/>
  <c r="L121" i="15"/>
  <c r="L110" i="15" s="1"/>
  <c r="K116" i="15"/>
  <c r="K105" i="15" s="1"/>
  <c r="H114" i="15"/>
  <c r="H103" i="15" s="1"/>
  <c r="Y89" i="15"/>
  <c r="R87" i="15"/>
  <c r="V86" i="15"/>
  <c r="Z85" i="15"/>
  <c r="R83" i="15"/>
  <c r="V82" i="15"/>
  <c r="Z81" i="15"/>
  <c r="A65" i="15"/>
  <c r="D65" i="15" s="1"/>
  <c r="A49" i="15"/>
  <c r="D49" i="15" s="1"/>
  <c r="H128" i="15"/>
  <c r="J125" i="15"/>
  <c r="L120" i="15"/>
  <c r="L109" i="15" s="1"/>
  <c r="J116" i="15"/>
  <c r="J105" i="15" s="1"/>
  <c r="G114" i="15"/>
  <c r="G103" i="15" s="1"/>
  <c r="X89" i="15"/>
  <c r="Q87" i="15"/>
  <c r="U86" i="15"/>
  <c r="Y85" i="15"/>
  <c r="Q83" i="15"/>
  <c r="U82" i="15"/>
  <c r="Y81" i="15"/>
  <c r="A58" i="15"/>
  <c r="D58" i="15" s="1"/>
  <c r="A42" i="15"/>
  <c r="D42" i="15" s="1"/>
  <c r="L127" i="15"/>
  <c r="I125" i="15"/>
  <c r="K120" i="15"/>
  <c r="K109" i="15" s="1"/>
  <c r="I116" i="15"/>
  <c r="I105" i="15" s="1"/>
  <c r="F114" i="15"/>
  <c r="F103" i="15" s="1"/>
  <c r="N96" i="15"/>
  <c r="W89" i="15"/>
  <c r="T86" i="15"/>
  <c r="X85" i="15"/>
  <c r="T82" i="15"/>
  <c r="X81" i="15"/>
  <c r="A51" i="15"/>
  <c r="D51" i="15" s="1"/>
  <c r="A35" i="15"/>
  <c r="D35" i="15" s="1"/>
  <c r="L132" i="15"/>
  <c r="L131" i="15"/>
  <c r="J127" i="15"/>
  <c r="G125" i="15"/>
  <c r="K119" i="15"/>
  <c r="K108" i="15" s="1"/>
  <c r="G116" i="15"/>
  <c r="G105" i="15" s="1"/>
  <c r="L113" i="15"/>
  <c r="L102" i="15" s="1"/>
  <c r="U89" i="15"/>
  <c r="Z88" i="15"/>
  <c r="R86" i="15"/>
  <c r="V85" i="15"/>
  <c r="Z84" i="15"/>
  <c r="R82" i="15"/>
  <c r="V81" i="15"/>
  <c r="Z80" i="15"/>
  <c r="A53" i="15"/>
  <c r="D53" i="15" s="1"/>
  <c r="K131" i="15"/>
  <c r="I127" i="15"/>
  <c r="F125" i="15"/>
  <c r="J119" i="15"/>
  <c r="J108" i="15" s="1"/>
  <c r="L115" i="15"/>
  <c r="L104" i="15" s="1"/>
  <c r="K113" i="15"/>
  <c r="K102" i="15" s="1"/>
  <c r="N97" i="15"/>
  <c r="T89" i="15"/>
  <c r="Y88" i="15"/>
  <c r="Q86" i="15"/>
  <c r="U85" i="15"/>
  <c r="Y84" i="15"/>
  <c r="Q82" i="15"/>
  <c r="U81" i="15"/>
  <c r="Y80" i="15"/>
  <c r="L130" i="15"/>
  <c r="H127" i="15"/>
  <c r="L118" i="15"/>
  <c r="L107" i="15" s="1"/>
  <c r="K115" i="15"/>
  <c r="K104" i="15" s="1"/>
  <c r="J113" i="15"/>
  <c r="J102" i="15" s="1"/>
  <c r="S89" i="15"/>
  <c r="X88" i="15"/>
  <c r="T85" i="15"/>
  <c r="X84" i="15"/>
  <c r="T81" i="15"/>
  <c r="X80" i="15"/>
  <c r="A55" i="15"/>
  <c r="D55" i="15" s="1"/>
  <c r="K130" i="15"/>
  <c r="G127" i="15"/>
  <c r="L124" i="15"/>
  <c r="K118" i="15"/>
  <c r="K107" i="15" s="1"/>
  <c r="J115" i="15"/>
  <c r="J104" i="15" s="1"/>
  <c r="I113" i="15"/>
  <c r="I102" i="15" s="1"/>
  <c r="F102" i="15"/>
  <c r="R89" i="15"/>
  <c r="W88" i="15"/>
  <c r="S85" i="15"/>
  <c r="W84" i="15"/>
  <c r="W80" i="15"/>
  <c r="A64" i="15"/>
  <c r="D64" i="15" s="1"/>
  <c r="A48" i="15"/>
  <c r="D48" i="15" s="1"/>
  <c r="J130" i="15"/>
  <c r="L126" i="15"/>
  <c r="K124" i="15"/>
  <c r="J118" i="15"/>
  <c r="J107" i="15" s="1"/>
  <c r="I115" i="15"/>
  <c r="I104" i="15" s="1"/>
  <c r="H113" i="15"/>
  <c r="H102" i="15" s="1"/>
  <c r="N98" i="15"/>
  <c r="Q89" i="15"/>
  <c r="V88" i="15"/>
  <c r="Z87" i="15"/>
  <c r="R85" i="15"/>
  <c r="V84" i="15"/>
  <c r="Z83" i="15"/>
  <c r="V80" i="15"/>
  <c r="Z79" i="15"/>
  <c r="A57" i="15"/>
  <c r="D57" i="15" s="1"/>
  <c r="L129" i="15"/>
  <c r="K126" i="15"/>
  <c r="J124" i="15"/>
  <c r="I118" i="15"/>
  <c r="I107" i="15" s="1"/>
  <c r="H115" i="15"/>
  <c r="H104" i="15" s="1"/>
  <c r="G113" i="15"/>
  <c r="G102" i="15" s="1"/>
  <c r="U88" i="15"/>
  <c r="Y87" i="15"/>
  <c r="Q85" i="15"/>
  <c r="U84" i="15"/>
  <c r="Y83" i="15"/>
  <c r="U80" i="15"/>
  <c r="Y79" i="15"/>
  <c r="A50" i="15"/>
  <c r="D50" i="15" s="1"/>
  <c r="A34" i="15"/>
  <c r="D34" i="15" s="1"/>
  <c r="I129" i="15"/>
  <c r="H126" i="15"/>
  <c r="G124" i="15"/>
  <c r="J117" i="15"/>
  <c r="J106" i="15" s="1"/>
  <c r="L114" i="15"/>
  <c r="L103" i="15" s="1"/>
  <c r="N94" i="15"/>
  <c r="R88" i="15"/>
  <c r="V87" i="15"/>
  <c r="Z86" i="15"/>
  <c r="R84" i="15"/>
  <c r="V83" i="15"/>
  <c r="Z82" i="15"/>
  <c r="V79" i="15"/>
  <c r="A26" i="15"/>
  <c r="D26" i="15" s="1"/>
  <c r="A38" i="15"/>
  <c r="D38" i="15" s="1"/>
  <c r="A41" i="15"/>
  <c r="D41" i="15" s="1"/>
  <c r="A45" i="15"/>
  <c r="D45" i="15" s="1"/>
  <c r="U83" i="15"/>
  <c r="T88" i="15"/>
  <c r="I117" i="15"/>
  <c r="I106" i="15" s="1"/>
  <c r="J129" i="15"/>
  <c r="A26" i="14"/>
  <c r="D26" i="14" s="1"/>
  <c r="A42" i="14"/>
  <c r="D42" i="14" s="1"/>
  <c r="H44" i="14"/>
  <c r="A58" i="14"/>
  <c r="D58" i="14" s="1"/>
  <c r="H60" i="14"/>
  <c r="Y81" i="14"/>
  <c r="U82" i="14"/>
  <c r="Q83" i="14"/>
  <c r="Y85" i="14"/>
  <c r="U86" i="14"/>
  <c r="Q87" i="14"/>
  <c r="X89" i="14"/>
  <c r="G114" i="14"/>
  <c r="G103" i="14" s="1"/>
  <c r="J116" i="14"/>
  <c r="J105" i="14" s="1"/>
  <c r="L120" i="14"/>
  <c r="L109" i="14" s="1"/>
  <c r="J125" i="14"/>
  <c r="H128" i="14"/>
  <c r="A33" i="15"/>
  <c r="D33" i="15" s="1"/>
  <c r="A63" i="15"/>
  <c r="D63" i="15" s="1"/>
  <c r="W83" i="15"/>
  <c r="K117" i="15"/>
  <c r="K106" i="15" s="1"/>
  <c r="K129" i="15"/>
  <c r="A65" i="14"/>
  <c r="D65" i="14" s="1"/>
  <c r="Z81" i="14"/>
  <c r="V82" i="14"/>
  <c r="R83" i="14"/>
  <c r="Z85" i="14"/>
  <c r="V86" i="14"/>
  <c r="R87" i="14"/>
  <c r="Y89" i="14"/>
  <c r="H114" i="14"/>
  <c r="H103" i="14" s="1"/>
  <c r="K116" i="14"/>
  <c r="K105" i="14" s="1"/>
  <c r="L121" i="14"/>
  <c r="L110" i="14" s="1"/>
  <c r="K125" i="14"/>
  <c r="I128" i="14"/>
  <c r="C77" i="15" a="1"/>
  <c r="H51" i="15"/>
  <c r="H53" i="15"/>
  <c r="H55" i="15"/>
  <c r="H57" i="15"/>
  <c r="H59" i="15"/>
  <c r="H63" i="15"/>
  <c r="A24" i="15"/>
  <c r="D24" i="15" s="1"/>
  <c r="H26" i="15"/>
  <c r="H38" i="15"/>
  <c r="H45" i="15"/>
  <c r="A54" i="15"/>
  <c r="D54" i="15" s="1"/>
  <c r="X83" i="15"/>
  <c r="S86" i="15"/>
  <c r="N99" i="15"/>
  <c r="L117" i="15"/>
  <c r="L106" i="15" s="1"/>
  <c r="K77" i="17"/>
  <c r="J77" i="17"/>
  <c r="I77" i="17"/>
  <c r="H77" i="17"/>
  <c r="G77" i="17"/>
  <c r="E77" i="17"/>
  <c r="D77" i="17"/>
  <c r="C77" i="17"/>
  <c r="L77" i="17"/>
  <c r="F77" i="17"/>
  <c r="A24" i="14"/>
  <c r="D24" i="14" s="1"/>
  <c r="A40" i="14"/>
  <c r="D40" i="14" s="1"/>
  <c r="H42" i="14"/>
  <c r="A56" i="14"/>
  <c r="D56" i="14" s="1"/>
  <c r="H58" i="14"/>
  <c r="W82" i="14"/>
  <c r="S83" i="14"/>
  <c r="W86" i="14"/>
  <c r="S87" i="14"/>
  <c r="Z89" i="14"/>
  <c r="N95" i="14"/>
  <c r="I114" i="14"/>
  <c r="I103" i="14" s="1"/>
  <c r="L116" i="14"/>
  <c r="L105" i="14" s="1"/>
  <c r="L125" i="14"/>
  <c r="J128" i="14"/>
  <c r="A31" i="15"/>
  <c r="D31" i="15" s="1"/>
  <c r="H33" i="15"/>
  <c r="X86" i="15"/>
  <c r="L119" i="15"/>
  <c r="L108" i="15" s="1"/>
  <c r="A47" i="14"/>
  <c r="D47" i="14" s="1"/>
  <c r="A63" i="14"/>
  <c r="D63" i="14" s="1"/>
  <c r="H65" i="14"/>
  <c r="T79" i="14"/>
  <c r="X82" i="14"/>
  <c r="T83" i="14"/>
  <c r="X86" i="14"/>
  <c r="T87" i="14"/>
  <c r="N100" i="14"/>
  <c r="J114" i="14"/>
  <c r="J103" i="14" s="1"/>
  <c r="H117" i="14"/>
  <c r="H106" i="14" s="1"/>
  <c r="F126" i="14"/>
  <c r="K128" i="14"/>
  <c r="A22" i="15"/>
  <c r="D22" i="15" s="1"/>
  <c r="H24" i="15"/>
  <c r="A36" i="15"/>
  <c r="D36" i="15" s="1"/>
  <c r="A46" i="15"/>
  <c r="D46" i="15" s="1"/>
  <c r="W81" i="15"/>
  <c r="Y86" i="15"/>
  <c r="A22" i="14"/>
  <c r="A38" i="14"/>
  <c r="D38" i="14" s="1"/>
  <c r="A54" i="14"/>
  <c r="D54" i="14" s="1"/>
  <c r="U79" i="14"/>
  <c r="Y82" i="14"/>
  <c r="U83" i="14"/>
  <c r="Q84" i="14"/>
  <c r="Y86" i="14"/>
  <c r="U87" i="14"/>
  <c r="Q88" i="14"/>
  <c r="K114" i="14"/>
  <c r="K103" i="14" s="1"/>
  <c r="I117" i="14"/>
  <c r="I106" i="14" s="1"/>
  <c r="F124" i="14"/>
  <c r="G126" i="14"/>
  <c r="A29" i="15"/>
  <c r="D29" i="15" s="1"/>
  <c r="H46" i="15"/>
  <c r="A59" i="15"/>
  <c r="D59" i="15" s="1"/>
  <c r="Q84" i="15"/>
  <c r="F124" i="15"/>
  <c r="A52" i="16"/>
  <c r="D52" i="16" s="1"/>
  <c r="H54" i="16"/>
  <c r="W79" i="16"/>
  <c r="W83" i="16"/>
  <c r="S84" i="16"/>
  <c r="W87" i="16"/>
  <c r="S88" i="16"/>
  <c r="L118" i="16"/>
  <c r="L107" i="16" s="1"/>
  <c r="J126" i="16"/>
  <c r="A25" i="16"/>
  <c r="A41" i="16"/>
  <c r="D41" i="16" s="1"/>
  <c r="H43" i="16"/>
  <c r="A57" i="16"/>
  <c r="D57" i="16" s="1"/>
  <c r="H59" i="16"/>
  <c r="Z79" i="16"/>
  <c r="V80" i="16"/>
  <c r="Z83" i="16"/>
  <c r="V84" i="16"/>
  <c r="R85" i="16"/>
  <c r="Z87" i="16"/>
  <c r="V88" i="16"/>
  <c r="Q89" i="16"/>
  <c r="L114" i="16"/>
  <c r="L103" i="16" s="1"/>
  <c r="L121" i="16"/>
  <c r="L110" i="16" s="1"/>
  <c r="J127" i="16"/>
  <c r="H33" i="17"/>
  <c r="H42" i="17"/>
  <c r="H48" i="17"/>
  <c r="H27" i="17"/>
  <c r="H45" i="17"/>
  <c r="A32" i="16"/>
  <c r="D32" i="16" s="1"/>
  <c r="A48" i="16"/>
  <c r="D48" i="16" s="1"/>
  <c r="H50" i="16"/>
  <c r="A64" i="16"/>
  <c r="D64" i="16" s="1"/>
  <c r="W80" i="16"/>
  <c r="W84" i="16"/>
  <c r="S85" i="16"/>
  <c r="W88" i="16"/>
  <c r="R89" i="16"/>
  <c r="F115" i="16"/>
  <c r="F104" i="16" s="1"/>
  <c r="F124" i="16"/>
  <c r="K127" i="16"/>
  <c r="H25" i="16"/>
  <c r="A39" i="16"/>
  <c r="D39" i="16" s="1"/>
  <c r="H41" i="16"/>
  <c r="A55" i="16"/>
  <c r="D55" i="16" s="1"/>
  <c r="H57" i="16"/>
  <c r="X80" i="16"/>
  <c r="T81" i="16"/>
  <c r="X84" i="16"/>
  <c r="T85" i="16"/>
  <c r="X88" i="16"/>
  <c r="S89" i="16"/>
  <c r="G115" i="16"/>
  <c r="G104" i="16" s="1"/>
  <c r="G124" i="16"/>
  <c r="I128" i="16"/>
  <c r="A30" i="16"/>
  <c r="D30" i="16" s="1"/>
  <c r="H32" i="16"/>
  <c r="A46" i="16"/>
  <c r="D46" i="16" s="1"/>
  <c r="H48" i="16"/>
  <c r="A62" i="16"/>
  <c r="D62" i="16" s="1"/>
  <c r="H64" i="16"/>
  <c r="C77" i="16" a="1"/>
  <c r="Y80" i="16"/>
  <c r="U81" i="16"/>
  <c r="Q82" i="16"/>
  <c r="Y84" i="16"/>
  <c r="U85" i="16"/>
  <c r="Q86" i="16"/>
  <c r="Y88" i="16"/>
  <c r="T89" i="16"/>
  <c r="N99" i="16"/>
  <c r="H115" i="16"/>
  <c r="H104" i="16" s="1"/>
  <c r="H124" i="16"/>
  <c r="L128" i="16"/>
  <c r="H39" i="16"/>
  <c r="A53" i="16"/>
  <c r="D53" i="16" s="1"/>
  <c r="H55" i="16"/>
  <c r="Z80" i="16"/>
  <c r="V81" i="16"/>
  <c r="R82" i="16"/>
  <c r="Z84" i="16"/>
  <c r="V85" i="16"/>
  <c r="R86" i="16"/>
  <c r="Z88" i="16"/>
  <c r="U89" i="16"/>
  <c r="N94" i="16"/>
  <c r="K115" i="16"/>
  <c r="K104" i="16" s="1"/>
  <c r="I124" i="16"/>
  <c r="I129" i="16"/>
  <c r="A28" i="16"/>
  <c r="D28" i="16" s="1"/>
  <c r="H30" i="16"/>
  <c r="A44" i="16"/>
  <c r="D44" i="16" s="1"/>
  <c r="H46" i="16"/>
  <c r="A60" i="16"/>
  <c r="D60" i="16" s="1"/>
  <c r="H62" i="16"/>
  <c r="W81" i="16"/>
  <c r="S82" i="16"/>
  <c r="W85" i="16"/>
  <c r="S86" i="16"/>
  <c r="V89" i="16"/>
  <c r="L108" i="16"/>
  <c r="G116" i="16"/>
  <c r="G105" i="16" s="1"/>
  <c r="J124" i="16"/>
  <c r="J129" i="16"/>
  <c r="H23" i="17"/>
  <c r="H34" i="17"/>
  <c r="H29" i="17"/>
  <c r="H56" i="17"/>
  <c r="H65" i="17"/>
  <c r="H58" i="17"/>
  <c r="H60" i="17"/>
  <c r="H62" i="17"/>
  <c r="H64" i="17"/>
  <c r="H50" i="17"/>
  <c r="X85" i="16"/>
  <c r="T86" i="16"/>
  <c r="W89" i="16"/>
  <c r="H116" i="16"/>
  <c r="H105" i="16" s="1"/>
  <c r="H43" i="18"/>
  <c r="H36" i="18"/>
  <c r="H40" i="18"/>
  <c r="H31" i="18"/>
  <c r="H25" i="18"/>
  <c r="K128" i="16"/>
  <c r="F126" i="16"/>
  <c r="H117" i="16"/>
  <c r="H106" i="16" s="1"/>
  <c r="J114" i="16"/>
  <c r="J103" i="16" s="1"/>
  <c r="N100" i="16"/>
  <c r="J128" i="16"/>
  <c r="L125" i="16"/>
  <c r="L116" i="16"/>
  <c r="L105" i="16" s="1"/>
  <c r="I114" i="16"/>
  <c r="I103" i="16" s="1"/>
  <c r="H128" i="16"/>
  <c r="J125" i="16"/>
  <c r="L120" i="16"/>
  <c r="L109" i="16" s="1"/>
  <c r="J116" i="16"/>
  <c r="J105" i="16" s="1"/>
  <c r="G114" i="16"/>
  <c r="G103" i="16" s="1"/>
  <c r="K108" i="16"/>
  <c r="L102" i="16"/>
  <c r="L127" i="16"/>
  <c r="I125" i="16"/>
  <c r="K120" i="16"/>
  <c r="K109" i="16" s="1"/>
  <c r="I116" i="16"/>
  <c r="I105" i="16" s="1"/>
  <c r="F114" i="16"/>
  <c r="F103" i="16" s="1"/>
  <c r="N96" i="16"/>
  <c r="K131" i="16"/>
  <c r="I127" i="16"/>
  <c r="F125" i="16"/>
  <c r="J119" i="16"/>
  <c r="J108" i="16" s="1"/>
  <c r="L115" i="16"/>
  <c r="L104" i="16" s="1"/>
  <c r="K113" i="16"/>
  <c r="K102" i="16" s="1"/>
  <c r="N97" i="16"/>
  <c r="L130" i="16"/>
  <c r="K130" i="16"/>
  <c r="G127" i="16"/>
  <c r="L124" i="16"/>
  <c r="K118" i="16"/>
  <c r="K107" i="16" s="1"/>
  <c r="J115" i="16"/>
  <c r="J104" i="16" s="1"/>
  <c r="I113" i="16"/>
  <c r="I102" i="16" s="1"/>
  <c r="J130" i="16"/>
  <c r="L126" i="16"/>
  <c r="K124" i="16"/>
  <c r="J118" i="16"/>
  <c r="J107" i="16" s="1"/>
  <c r="I115" i="16"/>
  <c r="I104" i="16" s="1"/>
  <c r="H113" i="16"/>
  <c r="H102" i="16" s="1"/>
  <c r="N98" i="16"/>
  <c r="A26" i="16"/>
  <c r="D26" i="16" s="1"/>
  <c r="A42" i="16"/>
  <c r="D42" i="16" s="1"/>
  <c r="H44" i="16"/>
  <c r="A58" i="16"/>
  <c r="D58" i="16" s="1"/>
  <c r="H60" i="16"/>
  <c r="Y81" i="16"/>
  <c r="U82" i="16"/>
  <c r="Q83" i="16"/>
  <c r="Y85" i="16"/>
  <c r="U86" i="16"/>
  <c r="Q87" i="16"/>
  <c r="X89" i="16"/>
  <c r="K116" i="16"/>
  <c r="K105" i="16" s="1"/>
  <c r="G125" i="16"/>
  <c r="L129" i="16"/>
  <c r="H47" i="17"/>
  <c r="A33" i="16"/>
  <c r="D33" i="16" s="1"/>
  <c r="A49" i="16"/>
  <c r="D49" i="16" s="1"/>
  <c r="H51" i="16"/>
  <c r="A65" i="16"/>
  <c r="D65" i="16" s="1"/>
  <c r="Z81" i="16"/>
  <c r="V82" i="16"/>
  <c r="R83" i="16"/>
  <c r="Z85" i="16"/>
  <c r="V86" i="16"/>
  <c r="R87" i="16"/>
  <c r="Y89" i="16"/>
  <c r="I117" i="16"/>
  <c r="I106" i="16" s="1"/>
  <c r="H125" i="16"/>
  <c r="L131" i="16"/>
  <c r="H54" i="17"/>
  <c r="A40" i="16"/>
  <c r="D40" i="16" s="1"/>
  <c r="H42" i="16"/>
  <c r="A56" i="16"/>
  <c r="D56" i="16" s="1"/>
  <c r="H58" i="16"/>
  <c r="W82" i="16"/>
  <c r="S83" i="16"/>
  <c r="W86" i="16"/>
  <c r="S87" i="16"/>
  <c r="Z89" i="16"/>
  <c r="F113" i="16"/>
  <c r="F102" i="16" s="1"/>
  <c r="J117" i="16"/>
  <c r="J106" i="16" s="1"/>
  <c r="K125" i="16"/>
  <c r="L132" i="16"/>
  <c r="A31" i="16"/>
  <c r="D31" i="16" s="1"/>
  <c r="A47" i="16"/>
  <c r="D47" i="16" s="1"/>
  <c r="A63" i="16"/>
  <c r="D63" i="16" s="1"/>
  <c r="H65" i="16"/>
  <c r="T79" i="16"/>
  <c r="X82" i="16"/>
  <c r="T83" i="16"/>
  <c r="X86" i="16"/>
  <c r="T87" i="16"/>
  <c r="G113" i="16"/>
  <c r="G102" i="16" s="1"/>
  <c r="K117" i="16"/>
  <c r="K106" i="16" s="1"/>
  <c r="G126" i="16"/>
  <c r="H40" i="17"/>
  <c r="H25" i="17"/>
  <c r="H43" i="17"/>
  <c r="A38" i="16"/>
  <c r="D38" i="16" s="1"/>
  <c r="A54" i="16"/>
  <c r="D54" i="16" s="1"/>
  <c r="U79" i="16"/>
  <c r="Y82" i="16"/>
  <c r="U83" i="16"/>
  <c r="Q84" i="16"/>
  <c r="Y86" i="16"/>
  <c r="U87" i="16"/>
  <c r="Q88" i="16"/>
  <c r="J113" i="16"/>
  <c r="J102" i="16" s="1"/>
  <c r="L117" i="16"/>
  <c r="L106" i="16" s="1"/>
  <c r="H126" i="16"/>
  <c r="H31" i="17"/>
  <c r="A59" i="17"/>
  <c r="D59" i="17" s="1"/>
  <c r="H61" i="17"/>
  <c r="X79" i="17"/>
  <c r="T80" i="17"/>
  <c r="X83" i="17"/>
  <c r="T84" i="17"/>
  <c r="X87" i="17"/>
  <c r="T88" i="17"/>
  <c r="F113" i="17"/>
  <c r="F102" i="17" s="1"/>
  <c r="G115" i="17"/>
  <c r="G104" i="17" s="1"/>
  <c r="L117" i="17"/>
  <c r="L106" i="17" s="1"/>
  <c r="I124" i="17"/>
  <c r="J126" i="17"/>
  <c r="K129" i="17"/>
  <c r="A37" i="18"/>
  <c r="D37" i="18" s="1"/>
  <c r="W81" i="18"/>
  <c r="K127" i="18"/>
  <c r="J106" i="17"/>
  <c r="G113" i="17"/>
  <c r="G102" i="17" s="1"/>
  <c r="H115" i="17"/>
  <c r="H104" i="17" s="1"/>
  <c r="I118" i="17"/>
  <c r="I107" i="17" s="1"/>
  <c r="J124" i="17"/>
  <c r="K126" i="17"/>
  <c r="L129" i="17"/>
  <c r="A25" i="18"/>
  <c r="D25" i="18" s="1"/>
  <c r="X81" i="18"/>
  <c r="K131" i="18"/>
  <c r="A57" i="17"/>
  <c r="D57" i="17" s="1"/>
  <c r="H59" i="17"/>
  <c r="Z79" i="17"/>
  <c r="V80" i="17"/>
  <c r="Z83" i="17"/>
  <c r="V84" i="17"/>
  <c r="R85" i="17"/>
  <c r="Z87" i="17"/>
  <c r="V88" i="17"/>
  <c r="Q89" i="17"/>
  <c r="N98" i="17"/>
  <c r="F104" i="17"/>
  <c r="H113" i="17"/>
  <c r="H102" i="17" s="1"/>
  <c r="I115" i="17"/>
  <c r="I104" i="17" s="1"/>
  <c r="J118" i="17"/>
  <c r="J107" i="17" s="1"/>
  <c r="K124" i="17"/>
  <c r="L126" i="17"/>
  <c r="J130" i="17"/>
  <c r="H41" i="18"/>
  <c r="H44" i="18"/>
  <c r="A32" i="18"/>
  <c r="D32" i="18" s="1"/>
  <c r="H37" i="18"/>
  <c r="A62" i="18"/>
  <c r="D62" i="18" s="1"/>
  <c r="S88" i="18"/>
  <c r="N96" i="18"/>
  <c r="K102" i="18"/>
  <c r="L132" i="18"/>
  <c r="A32" i="17"/>
  <c r="D32" i="17" s="1"/>
  <c r="A48" i="17"/>
  <c r="D48" i="17" s="1"/>
  <c r="A64" i="17"/>
  <c r="D64" i="17" s="1"/>
  <c r="W80" i="17"/>
  <c r="W84" i="17"/>
  <c r="S85" i="17"/>
  <c r="W88" i="17"/>
  <c r="R89" i="17"/>
  <c r="I113" i="17"/>
  <c r="I102" i="17" s="1"/>
  <c r="J115" i="17"/>
  <c r="J104" i="17" s="1"/>
  <c r="K118" i="17"/>
  <c r="K107" i="17" s="1"/>
  <c r="L124" i="17"/>
  <c r="G127" i="17"/>
  <c r="K130" i="17"/>
  <c r="A23" i="18"/>
  <c r="D23" i="18" s="1"/>
  <c r="Q82" i="18"/>
  <c r="U85" i="18"/>
  <c r="Y88" i="18"/>
  <c r="A23" i="17"/>
  <c r="D23" i="17" s="1"/>
  <c r="A39" i="17"/>
  <c r="D39" i="17" s="1"/>
  <c r="H41" i="17"/>
  <c r="A55" i="17"/>
  <c r="D55" i="17" s="1"/>
  <c r="H57" i="17"/>
  <c r="X80" i="17"/>
  <c r="T81" i="17"/>
  <c r="X84" i="17"/>
  <c r="T85" i="17"/>
  <c r="X88" i="17"/>
  <c r="S89" i="17"/>
  <c r="J113" i="17"/>
  <c r="J102" i="17" s="1"/>
  <c r="K115" i="17"/>
  <c r="K104" i="17" s="1"/>
  <c r="L118" i="17"/>
  <c r="L107" i="17" s="1"/>
  <c r="H127" i="17"/>
  <c r="L130" i="17"/>
  <c r="A30" i="18"/>
  <c r="D30" i="18" s="1"/>
  <c r="H32" i="18"/>
  <c r="S82" i="18"/>
  <c r="W85" i="18"/>
  <c r="N97" i="18"/>
  <c r="A46" i="17"/>
  <c r="D46" i="17" s="1"/>
  <c r="A62" i="17"/>
  <c r="D62" i="17" s="1"/>
  <c r="Y80" i="17"/>
  <c r="U81" i="17"/>
  <c r="Q82" i="17"/>
  <c r="Y84" i="17"/>
  <c r="U85" i="17"/>
  <c r="Q86" i="17"/>
  <c r="Y88" i="17"/>
  <c r="T89" i="17"/>
  <c r="N97" i="17"/>
  <c r="K113" i="17"/>
  <c r="K102" i="17" s="1"/>
  <c r="L115" i="17"/>
  <c r="L104" i="17" s="1"/>
  <c r="J119" i="17"/>
  <c r="J108" i="17" s="1"/>
  <c r="F125" i="17"/>
  <c r="I127" i="17"/>
  <c r="K131" i="17"/>
  <c r="A21" i="18"/>
  <c r="A44" i="18"/>
  <c r="D44" i="18" s="1"/>
  <c r="T82" i="18"/>
  <c r="X85" i="18"/>
  <c r="C77" i="19"/>
  <c r="K77" i="19"/>
  <c r="L77" i="19"/>
  <c r="J77" i="19"/>
  <c r="I77" i="19"/>
  <c r="H77" i="19"/>
  <c r="G77" i="19"/>
  <c r="F77" i="19"/>
  <c r="E77" i="19"/>
  <c r="D77" i="19"/>
  <c r="A21" i="17"/>
  <c r="A37" i="17"/>
  <c r="D37" i="17" s="1"/>
  <c r="H39" i="17"/>
  <c r="A53" i="17"/>
  <c r="D53" i="17" s="1"/>
  <c r="H55" i="17"/>
  <c r="Z80" i="17"/>
  <c r="V81" i="17"/>
  <c r="R82" i="17"/>
  <c r="Z84" i="17"/>
  <c r="V85" i="17"/>
  <c r="R86" i="17"/>
  <c r="Z88" i="17"/>
  <c r="U89" i="17"/>
  <c r="L113" i="17"/>
  <c r="L102" i="17" s="1"/>
  <c r="G116" i="17"/>
  <c r="G105" i="17" s="1"/>
  <c r="K119" i="17"/>
  <c r="K108" i="17" s="1"/>
  <c r="G125" i="17"/>
  <c r="J127" i="17"/>
  <c r="L131" i="17"/>
  <c r="H45" i="18"/>
  <c r="H47" i="18"/>
  <c r="H33" i="18"/>
  <c r="H42" i="18"/>
  <c r="A28" i="18"/>
  <c r="D28" i="18" s="1"/>
  <c r="H30" i="18"/>
  <c r="A35" i="18"/>
  <c r="D35" i="18" s="1"/>
  <c r="W79" i="18"/>
  <c r="H30" i="17"/>
  <c r="H46" i="17"/>
  <c r="A60" i="17"/>
  <c r="D60" i="17" s="1"/>
  <c r="W81" i="17"/>
  <c r="S82" i="17"/>
  <c r="W85" i="17"/>
  <c r="S86" i="17"/>
  <c r="V89" i="17"/>
  <c r="H116" i="17"/>
  <c r="H105" i="17" s="1"/>
  <c r="L119" i="17"/>
  <c r="L108" i="17" s="1"/>
  <c r="H125" i="17"/>
  <c r="K127" i="17"/>
  <c r="L132" i="17"/>
  <c r="A51" i="18"/>
  <c r="D51" i="18" s="1"/>
  <c r="Q86" i="18"/>
  <c r="T89" i="18"/>
  <c r="F114" i="17"/>
  <c r="F103" i="17" s="1"/>
  <c r="I116" i="17"/>
  <c r="I105" i="17" s="1"/>
  <c r="K120" i="17"/>
  <c r="K109" i="17" s="1"/>
  <c r="I125" i="17"/>
  <c r="L127" i="17"/>
  <c r="L130" i="18"/>
  <c r="H127" i="18"/>
  <c r="L118" i="18"/>
  <c r="L107" i="18" s="1"/>
  <c r="K115" i="18"/>
  <c r="K104" i="18" s="1"/>
  <c r="J113" i="18"/>
  <c r="J102" i="18" s="1"/>
  <c r="S89" i="18"/>
  <c r="X88" i="18"/>
  <c r="T85" i="18"/>
  <c r="X84" i="18"/>
  <c r="T81" i="18"/>
  <c r="X80" i="18"/>
  <c r="A55" i="18"/>
  <c r="D55" i="18" s="1"/>
  <c r="A39" i="18"/>
  <c r="D39" i="18" s="1"/>
  <c r="K130" i="18"/>
  <c r="G127" i="18"/>
  <c r="L124" i="18"/>
  <c r="K118" i="18"/>
  <c r="K107" i="18" s="1"/>
  <c r="J115" i="18"/>
  <c r="J104" i="18" s="1"/>
  <c r="I113" i="18"/>
  <c r="I102" i="18" s="1"/>
  <c r="R89" i="18"/>
  <c r="W88" i="18"/>
  <c r="S85" i="18"/>
  <c r="W84" i="18"/>
  <c r="W80" i="18"/>
  <c r="A64" i="18"/>
  <c r="D64" i="18" s="1"/>
  <c r="A48" i="18"/>
  <c r="D48" i="18" s="1"/>
  <c r="J130" i="18"/>
  <c r="L126" i="18"/>
  <c r="K124" i="18"/>
  <c r="J118" i="18"/>
  <c r="J107" i="18" s="1"/>
  <c r="I115" i="18"/>
  <c r="I104" i="18" s="1"/>
  <c r="H113" i="18"/>
  <c r="H102" i="18" s="1"/>
  <c r="N98" i="18"/>
  <c r="Q89" i="18"/>
  <c r="V88" i="18"/>
  <c r="Z87" i="18"/>
  <c r="R85" i="18"/>
  <c r="V84" i="18"/>
  <c r="Z83" i="18"/>
  <c r="V80" i="18"/>
  <c r="Z79" i="18"/>
  <c r="A57" i="18"/>
  <c r="D57" i="18" s="1"/>
  <c r="A41" i="18"/>
  <c r="D41" i="18" s="1"/>
  <c r="L129" i="18"/>
  <c r="K126" i="18"/>
  <c r="J124" i="18"/>
  <c r="I118" i="18"/>
  <c r="I107" i="18" s="1"/>
  <c r="H115" i="18"/>
  <c r="H104" i="18" s="1"/>
  <c r="G113" i="18"/>
  <c r="G102" i="18" s="1"/>
  <c r="U88" i="18"/>
  <c r="Y87" i="18"/>
  <c r="Q85" i="18"/>
  <c r="U84" i="18"/>
  <c r="Y83" i="18"/>
  <c r="U80" i="18"/>
  <c r="Y79" i="18"/>
  <c r="A50" i="18"/>
  <c r="D50" i="18" s="1"/>
  <c r="K129" i="18"/>
  <c r="J126" i="18"/>
  <c r="I124" i="18"/>
  <c r="L117" i="18"/>
  <c r="L106" i="18" s="1"/>
  <c r="G115" i="18"/>
  <c r="G104" i="18" s="1"/>
  <c r="F113" i="18"/>
  <c r="F102" i="18" s="1"/>
  <c r="T88" i="18"/>
  <c r="X87" i="18"/>
  <c r="T84" i="18"/>
  <c r="X83" i="18"/>
  <c r="T80" i="18"/>
  <c r="X79" i="18"/>
  <c r="A59" i="18"/>
  <c r="D59" i="18" s="1"/>
  <c r="A43" i="18"/>
  <c r="D43" i="18" s="1"/>
  <c r="J129" i="18"/>
  <c r="I126" i="18"/>
  <c r="H124" i="18"/>
  <c r="K117" i="18"/>
  <c r="K106" i="18" s="1"/>
  <c r="F115" i="18"/>
  <c r="F104" i="18" s="1"/>
  <c r="N99" i="18"/>
  <c r="I129" i="18"/>
  <c r="H126" i="18"/>
  <c r="G124" i="18"/>
  <c r="J117" i="18"/>
  <c r="J106" i="18" s="1"/>
  <c r="L114" i="18"/>
  <c r="L103" i="18" s="1"/>
  <c r="N94" i="18"/>
  <c r="R88" i="18"/>
  <c r="V87" i="18"/>
  <c r="Z86" i="18"/>
  <c r="R84" i="18"/>
  <c r="V83" i="18"/>
  <c r="Z82" i="18"/>
  <c r="V79" i="18"/>
  <c r="A61" i="18"/>
  <c r="D61" i="18" s="1"/>
  <c r="A45" i="18"/>
  <c r="D45" i="18" s="1"/>
  <c r="L128" i="18"/>
  <c r="G126" i="18"/>
  <c r="F124" i="18"/>
  <c r="I117" i="18"/>
  <c r="I106" i="18" s="1"/>
  <c r="K114" i="18"/>
  <c r="K103" i="18" s="1"/>
  <c r="Q88" i="18"/>
  <c r="U87" i="18"/>
  <c r="Y86" i="18"/>
  <c r="Q84" i="18"/>
  <c r="U83" i="18"/>
  <c r="Y82" i="18"/>
  <c r="U79" i="18"/>
  <c r="A54" i="18"/>
  <c r="D54" i="18" s="1"/>
  <c r="A38" i="18"/>
  <c r="D38" i="18" s="1"/>
  <c r="K128" i="18"/>
  <c r="F126" i="18"/>
  <c r="H117" i="18"/>
  <c r="H106" i="18" s="1"/>
  <c r="J114" i="18"/>
  <c r="J103" i="18" s="1"/>
  <c r="N100" i="18"/>
  <c r="T87" i="18"/>
  <c r="X86" i="18"/>
  <c r="T83" i="18"/>
  <c r="X82" i="18"/>
  <c r="T79" i="18"/>
  <c r="A63" i="18"/>
  <c r="D63" i="18" s="1"/>
  <c r="A47" i="18"/>
  <c r="D47" i="18" s="1"/>
  <c r="J128" i="18"/>
  <c r="L125" i="18"/>
  <c r="L116" i="18"/>
  <c r="L105" i="18" s="1"/>
  <c r="I114" i="18"/>
  <c r="I103" i="18" s="1"/>
  <c r="N95" i="18"/>
  <c r="Z89" i="18"/>
  <c r="S87" i="18"/>
  <c r="W86" i="18"/>
  <c r="S83" i="18"/>
  <c r="W82" i="18"/>
  <c r="A56" i="18"/>
  <c r="D56" i="18" s="1"/>
  <c r="A40" i="18"/>
  <c r="D40" i="18" s="1"/>
  <c r="I128" i="18"/>
  <c r="K125" i="18"/>
  <c r="L121" i="18"/>
  <c r="L110" i="18" s="1"/>
  <c r="K116" i="18"/>
  <c r="K105" i="18" s="1"/>
  <c r="H114" i="18"/>
  <c r="H103" i="18" s="1"/>
  <c r="Y89" i="18"/>
  <c r="R87" i="18"/>
  <c r="V86" i="18"/>
  <c r="Z85" i="18"/>
  <c r="R83" i="18"/>
  <c r="V82" i="18"/>
  <c r="Z81" i="18"/>
  <c r="A65" i="18"/>
  <c r="D65" i="18" s="1"/>
  <c r="A49" i="18"/>
  <c r="D49" i="18" s="1"/>
  <c r="H128" i="18"/>
  <c r="J125" i="18"/>
  <c r="L120" i="18"/>
  <c r="L109" i="18" s="1"/>
  <c r="J116" i="18"/>
  <c r="J105" i="18" s="1"/>
  <c r="G114" i="18"/>
  <c r="G103" i="18" s="1"/>
  <c r="X89" i="18"/>
  <c r="Q87" i="18"/>
  <c r="U86" i="18"/>
  <c r="Y85" i="18"/>
  <c r="Q83" i="18"/>
  <c r="U82" i="18"/>
  <c r="Y81" i="18"/>
  <c r="A58" i="18"/>
  <c r="D58" i="18" s="1"/>
  <c r="A42" i="18"/>
  <c r="D42" i="18" s="1"/>
  <c r="L127" i="18"/>
  <c r="I125" i="18"/>
  <c r="K120" i="18"/>
  <c r="K109" i="18" s="1"/>
  <c r="I116" i="18"/>
  <c r="I105" i="18" s="1"/>
  <c r="F114" i="18"/>
  <c r="F103" i="18" s="1"/>
  <c r="L131" i="18"/>
  <c r="J127" i="18"/>
  <c r="G125" i="18"/>
  <c r="K119" i="18"/>
  <c r="K108" i="18" s="1"/>
  <c r="G116" i="18"/>
  <c r="G105" i="18" s="1"/>
  <c r="L113" i="18"/>
  <c r="L102" i="18" s="1"/>
  <c r="U89" i="18"/>
  <c r="Z88" i="18"/>
  <c r="R86" i="18"/>
  <c r="V85" i="18"/>
  <c r="Z84" i="18"/>
  <c r="R82" i="18"/>
  <c r="V81" i="18"/>
  <c r="Z80" i="18"/>
  <c r="A53" i="18"/>
  <c r="D53" i="18" s="1"/>
  <c r="A26" i="18"/>
  <c r="D26" i="18" s="1"/>
  <c r="S86" i="18"/>
  <c r="V89" i="18"/>
  <c r="A26" i="17"/>
  <c r="D26" i="17" s="1"/>
  <c r="A42" i="17"/>
  <c r="D42" i="17" s="1"/>
  <c r="H44" i="17"/>
  <c r="A58" i="17"/>
  <c r="D58" i="17" s="1"/>
  <c r="Y81" i="17"/>
  <c r="U82" i="17"/>
  <c r="Q83" i="17"/>
  <c r="Y85" i="17"/>
  <c r="U86" i="17"/>
  <c r="Q87" i="17"/>
  <c r="X89" i="17"/>
  <c r="G114" i="17"/>
  <c r="G103" i="17" s="1"/>
  <c r="J116" i="17"/>
  <c r="J105" i="17" s="1"/>
  <c r="L120" i="17"/>
  <c r="L109" i="17" s="1"/>
  <c r="J125" i="17"/>
  <c r="H128" i="17"/>
  <c r="A33" i="18"/>
  <c r="D33" i="18" s="1"/>
  <c r="A52" i="18"/>
  <c r="D52" i="18" s="1"/>
  <c r="T86" i="18"/>
  <c r="W89" i="18"/>
  <c r="L115" i="18"/>
  <c r="L104" i="18" s="1"/>
  <c r="A33" i="17"/>
  <c r="D33" i="17" s="1"/>
  <c r="H35" i="17"/>
  <c r="A49" i="17"/>
  <c r="D49" i="17" s="1"/>
  <c r="H51" i="17"/>
  <c r="A65" i="17"/>
  <c r="D65" i="17" s="1"/>
  <c r="Z81" i="17"/>
  <c r="V82" i="17"/>
  <c r="R83" i="17"/>
  <c r="Z85" i="17"/>
  <c r="V86" i="17"/>
  <c r="R87" i="17"/>
  <c r="Y89" i="17"/>
  <c r="H114" i="17"/>
  <c r="H103" i="17" s="1"/>
  <c r="K116" i="17"/>
  <c r="K105" i="17" s="1"/>
  <c r="L121" i="17"/>
  <c r="L110" i="17" s="1"/>
  <c r="K125" i="17"/>
  <c r="I128" i="17"/>
  <c r="H57" i="18"/>
  <c r="H59" i="18"/>
  <c r="H61" i="18"/>
  <c r="H63" i="18"/>
  <c r="H49" i="18"/>
  <c r="H51" i="18"/>
  <c r="H55" i="18"/>
  <c r="A24" i="18"/>
  <c r="D24" i="18" s="1"/>
  <c r="H26" i="18"/>
  <c r="A46" i="18"/>
  <c r="D46" i="18" s="1"/>
  <c r="W83" i="18"/>
  <c r="H116" i="18"/>
  <c r="H105" i="18" s="1"/>
  <c r="A40" i="17"/>
  <c r="D40" i="17" s="1"/>
  <c r="A56" i="17"/>
  <c r="D56" i="17" s="1"/>
  <c r="W82" i="17"/>
  <c r="S83" i="17"/>
  <c r="W86" i="17"/>
  <c r="S87" i="17"/>
  <c r="Z89" i="17"/>
  <c r="N95" i="17"/>
  <c r="I114" i="17"/>
  <c r="I103" i="17" s="1"/>
  <c r="L116" i="17"/>
  <c r="L105" i="17" s="1"/>
  <c r="L125" i="17"/>
  <c r="J128" i="17"/>
  <c r="A31" i="18"/>
  <c r="D31" i="18" s="1"/>
  <c r="H46" i="18"/>
  <c r="Y80" i="18"/>
  <c r="J119" i="18"/>
  <c r="J108" i="18" s="1"/>
  <c r="A31" i="17"/>
  <c r="D31" i="17" s="1"/>
  <c r="A47" i="17"/>
  <c r="D47" i="17" s="1"/>
  <c r="A63" i="17"/>
  <c r="D63" i="17" s="1"/>
  <c r="T79" i="17"/>
  <c r="X82" i="17"/>
  <c r="T83" i="17"/>
  <c r="X86" i="17"/>
  <c r="T87" i="17"/>
  <c r="N100" i="17"/>
  <c r="J114" i="17"/>
  <c r="J103" i="17" s="1"/>
  <c r="H117" i="17"/>
  <c r="H106" i="17" s="1"/>
  <c r="F126" i="17"/>
  <c r="K128" i="17"/>
  <c r="A22" i="18"/>
  <c r="D22" i="18" s="1"/>
  <c r="A36" i="18"/>
  <c r="D36" i="18" s="1"/>
  <c r="L119" i="18"/>
  <c r="L108" i="18" s="1"/>
  <c r="A22" i="17"/>
  <c r="D22" i="17" s="1"/>
  <c r="A38" i="17"/>
  <c r="D38" i="17" s="1"/>
  <c r="A54" i="17"/>
  <c r="D54" i="17" s="1"/>
  <c r="U79" i="17"/>
  <c r="Y82" i="17"/>
  <c r="U83" i="17"/>
  <c r="Q84" i="17"/>
  <c r="Y86" i="17"/>
  <c r="U87" i="17"/>
  <c r="Q88" i="17"/>
  <c r="K114" i="17"/>
  <c r="K103" i="17" s="1"/>
  <c r="I117" i="17"/>
  <c r="I106" i="17" s="1"/>
  <c r="F124" i="17"/>
  <c r="G126" i="17"/>
  <c r="A29" i="18"/>
  <c r="D29" i="18" s="1"/>
  <c r="H53" i="18"/>
  <c r="A60" i="18"/>
  <c r="D60" i="18" s="1"/>
  <c r="F125" i="18"/>
  <c r="C80" i="19"/>
  <c r="D79" i="19"/>
  <c r="D21" i="19"/>
  <c r="A28" i="19"/>
  <c r="D28" i="19" s="1"/>
  <c r="H30" i="19"/>
  <c r="A44" i="19"/>
  <c r="D44" i="19" s="1"/>
  <c r="H46" i="19"/>
  <c r="A58" i="19"/>
  <c r="D58" i="19" s="1"/>
  <c r="H63" i="19"/>
  <c r="R84" i="19"/>
  <c r="W85" i="19"/>
  <c r="R88" i="19"/>
  <c r="L128" i="20"/>
  <c r="G126" i="20"/>
  <c r="F124" i="20"/>
  <c r="I117" i="20"/>
  <c r="I106" i="20" s="1"/>
  <c r="K114" i="20"/>
  <c r="K103" i="20" s="1"/>
  <c r="K128" i="20"/>
  <c r="F126" i="20"/>
  <c r="H117" i="20"/>
  <c r="H106" i="20" s="1"/>
  <c r="J114" i="20"/>
  <c r="J103" i="20" s="1"/>
  <c r="N100" i="20"/>
  <c r="J128" i="20"/>
  <c r="L125" i="20"/>
  <c r="L116" i="20"/>
  <c r="L105" i="20" s="1"/>
  <c r="I114" i="20"/>
  <c r="I103" i="20" s="1"/>
  <c r="N95" i="20"/>
  <c r="Z89" i="20"/>
  <c r="L132" i="20"/>
  <c r="K127" i="20"/>
  <c r="H125" i="20"/>
  <c r="L119" i="20"/>
  <c r="L108" i="20" s="1"/>
  <c r="H116" i="20"/>
  <c r="H105" i="20" s="1"/>
  <c r="L131" i="20"/>
  <c r="J127" i="20"/>
  <c r="G125" i="20"/>
  <c r="K119" i="20"/>
  <c r="K108" i="20" s="1"/>
  <c r="G116" i="20"/>
  <c r="G105" i="20" s="1"/>
  <c r="L113" i="20"/>
  <c r="L102" i="20" s="1"/>
  <c r="U89" i="20"/>
  <c r="Z88" i="20"/>
  <c r="L130" i="20"/>
  <c r="H127" i="20"/>
  <c r="L118" i="20"/>
  <c r="L107" i="20" s="1"/>
  <c r="K115" i="20"/>
  <c r="K104" i="20" s="1"/>
  <c r="J113" i="20"/>
  <c r="J102" i="20" s="1"/>
  <c r="K130" i="20"/>
  <c r="K125" i="20"/>
  <c r="I118" i="20"/>
  <c r="I107" i="20" s="1"/>
  <c r="F114" i="20"/>
  <c r="F103" i="20" s="1"/>
  <c r="Y89" i="20"/>
  <c r="S86" i="20"/>
  <c r="W85" i="20"/>
  <c r="S82" i="20"/>
  <c r="W81" i="20"/>
  <c r="A60" i="20"/>
  <c r="D60" i="20" s="1"/>
  <c r="A44" i="20"/>
  <c r="D44" i="20" s="1"/>
  <c r="A28" i="20"/>
  <c r="D28" i="20" s="1"/>
  <c r="J130" i="20"/>
  <c r="J125" i="20"/>
  <c r="L117" i="20"/>
  <c r="L106" i="20" s="1"/>
  <c r="K113" i="20"/>
  <c r="K102" i="20" s="1"/>
  <c r="X89" i="20"/>
  <c r="R86" i="20"/>
  <c r="V85" i="20"/>
  <c r="Z84" i="20"/>
  <c r="R82" i="20"/>
  <c r="V81" i="20"/>
  <c r="Z80" i="20"/>
  <c r="A53" i="20"/>
  <c r="D53" i="20" s="1"/>
  <c r="A37" i="20"/>
  <c r="D37" i="20" s="1"/>
  <c r="A21" i="20"/>
  <c r="L129" i="20"/>
  <c r="I125" i="20"/>
  <c r="K117" i="20"/>
  <c r="K106" i="20" s="1"/>
  <c r="I113" i="20"/>
  <c r="I102" i="20" s="1"/>
  <c r="W89" i="20"/>
  <c r="Y88" i="20"/>
  <c r="Q86" i="20"/>
  <c r="U85" i="20"/>
  <c r="Y84" i="20"/>
  <c r="Q82" i="20"/>
  <c r="U81" i="20"/>
  <c r="Y80" i="20"/>
  <c r="A62" i="20"/>
  <c r="D62" i="20" s="1"/>
  <c r="A46" i="20"/>
  <c r="D46" i="20" s="1"/>
  <c r="A30" i="20"/>
  <c r="D30" i="20" s="1"/>
  <c r="K129" i="20"/>
  <c r="F125" i="20"/>
  <c r="J117" i="20"/>
  <c r="J106" i="20" s="1"/>
  <c r="H113" i="20"/>
  <c r="H102" i="20" s="1"/>
  <c r="V89" i="20"/>
  <c r="X88" i="20"/>
  <c r="T85" i="20"/>
  <c r="X84" i="20"/>
  <c r="T81" i="20"/>
  <c r="X80" i="20"/>
  <c r="A55" i="20"/>
  <c r="D55" i="20" s="1"/>
  <c r="A39" i="20"/>
  <c r="D39" i="20" s="1"/>
  <c r="A23" i="20"/>
  <c r="D23" i="20" s="1"/>
  <c r="J129" i="20"/>
  <c r="L124" i="20"/>
  <c r="K116" i="20"/>
  <c r="K105" i="20" s="1"/>
  <c r="G113" i="20"/>
  <c r="G102" i="20" s="1"/>
  <c r="T89" i="20"/>
  <c r="W88" i="20"/>
  <c r="S85" i="20"/>
  <c r="W84" i="20"/>
  <c r="W80" i="20"/>
  <c r="A64" i="20"/>
  <c r="D64" i="20" s="1"/>
  <c r="A48" i="20"/>
  <c r="D48" i="20" s="1"/>
  <c r="A32" i="20"/>
  <c r="D32" i="20" s="1"/>
  <c r="I129" i="20"/>
  <c r="K124" i="20"/>
  <c r="J116" i="20"/>
  <c r="J105" i="20" s="1"/>
  <c r="F113" i="20"/>
  <c r="F102" i="20" s="1"/>
  <c r="S89" i="20"/>
  <c r="V88" i="20"/>
  <c r="Z87" i="20"/>
  <c r="R85" i="20"/>
  <c r="V84" i="20"/>
  <c r="Z83" i="20"/>
  <c r="V80" i="20"/>
  <c r="Z79" i="20"/>
  <c r="A57" i="20"/>
  <c r="D57" i="20" s="1"/>
  <c r="A41" i="20"/>
  <c r="D41" i="20" s="1"/>
  <c r="A25" i="20"/>
  <c r="D25" i="20" s="1"/>
  <c r="I128" i="20"/>
  <c r="J124" i="20"/>
  <c r="I116" i="20"/>
  <c r="I105" i="20" s="1"/>
  <c r="N98" i="20"/>
  <c r="R89" i="20"/>
  <c r="U88" i="20"/>
  <c r="Y87" i="20"/>
  <c r="Q85" i="20"/>
  <c r="U84" i="20"/>
  <c r="Y83" i="20"/>
  <c r="U80" i="20"/>
  <c r="Y79" i="20"/>
  <c r="A50" i="20"/>
  <c r="D50" i="20" s="1"/>
  <c r="A34" i="20"/>
  <c r="D34" i="20" s="1"/>
  <c r="H128" i="20"/>
  <c r="I124" i="20"/>
  <c r="L115" i="20"/>
  <c r="L104" i="20" s="1"/>
  <c r="N96" i="20"/>
  <c r="Q89" i="20"/>
  <c r="T88" i="20"/>
  <c r="X87" i="20"/>
  <c r="T84" i="20"/>
  <c r="X83" i="20"/>
  <c r="T80" i="20"/>
  <c r="X79" i="20"/>
  <c r="A59" i="20"/>
  <c r="D59" i="20" s="1"/>
  <c r="A43" i="20"/>
  <c r="D43" i="20" s="1"/>
  <c r="A27" i="20"/>
  <c r="D27" i="20" s="1"/>
  <c r="L127" i="20"/>
  <c r="H124" i="20"/>
  <c r="J115" i="20"/>
  <c r="J104" i="20" s="1"/>
  <c r="S88" i="20"/>
  <c r="W87" i="20"/>
  <c r="S84" i="20"/>
  <c r="W83" i="20"/>
  <c r="W79" i="20"/>
  <c r="A52" i="20"/>
  <c r="D52" i="20" s="1"/>
  <c r="A36" i="20"/>
  <c r="D36" i="20" s="1"/>
  <c r="I127" i="20"/>
  <c r="G124" i="20"/>
  <c r="I115" i="20"/>
  <c r="I104" i="20" s="1"/>
  <c r="N94" i="20"/>
  <c r="R88" i="20"/>
  <c r="V87" i="20"/>
  <c r="Z86" i="20"/>
  <c r="R84" i="20"/>
  <c r="V83" i="20"/>
  <c r="Z82" i="20"/>
  <c r="V79" i="20"/>
  <c r="A61" i="20"/>
  <c r="D61" i="20" s="1"/>
  <c r="A45" i="20"/>
  <c r="D45" i="20" s="1"/>
  <c r="A29" i="20"/>
  <c r="D29" i="20" s="1"/>
  <c r="G127" i="20"/>
  <c r="L121" i="20"/>
  <c r="L110" i="20" s="1"/>
  <c r="H115" i="20"/>
  <c r="H104" i="20" s="1"/>
  <c r="Q88" i="20"/>
  <c r="U87" i="20"/>
  <c r="Y86" i="20"/>
  <c r="Q84" i="20"/>
  <c r="U83" i="20"/>
  <c r="Y82" i="20"/>
  <c r="U79" i="20"/>
  <c r="A54" i="20"/>
  <c r="D54" i="20" s="1"/>
  <c r="A38" i="20"/>
  <c r="D38" i="20" s="1"/>
  <c r="A22" i="20"/>
  <c r="D22" i="20" s="1"/>
  <c r="L126" i="20"/>
  <c r="L120" i="20"/>
  <c r="L109" i="20" s="1"/>
  <c r="G115" i="20"/>
  <c r="G104" i="20" s="1"/>
  <c r="T87" i="20"/>
  <c r="X86" i="20"/>
  <c r="T83" i="20"/>
  <c r="X82" i="20"/>
  <c r="T79" i="20"/>
  <c r="A63" i="20"/>
  <c r="D63" i="20" s="1"/>
  <c r="A47" i="20"/>
  <c r="D47" i="20" s="1"/>
  <c r="A31" i="20"/>
  <c r="D31" i="20" s="1"/>
  <c r="K126" i="20"/>
  <c r="K120" i="20"/>
  <c r="K109" i="20" s="1"/>
  <c r="F115" i="20"/>
  <c r="F104" i="20" s="1"/>
  <c r="S87" i="20"/>
  <c r="W86" i="20"/>
  <c r="S83" i="20"/>
  <c r="W82" i="20"/>
  <c r="J126" i="20"/>
  <c r="J119" i="20"/>
  <c r="J108" i="20" s="1"/>
  <c r="L114" i="20"/>
  <c r="L103" i="20" s="1"/>
  <c r="R87" i="20"/>
  <c r="V86" i="20"/>
  <c r="Z85" i="20"/>
  <c r="R83" i="20"/>
  <c r="V82" i="20"/>
  <c r="Z81" i="20"/>
  <c r="A65" i="20"/>
  <c r="D65" i="20" s="1"/>
  <c r="A49" i="20"/>
  <c r="D49" i="20" s="1"/>
  <c r="A33" i="20"/>
  <c r="D33" i="20" s="1"/>
  <c r="A24" i="20"/>
  <c r="D24" i="20" s="1"/>
  <c r="X85" i="20"/>
  <c r="L131" i="19"/>
  <c r="J127" i="19"/>
  <c r="G125" i="19"/>
  <c r="K119" i="19"/>
  <c r="K108" i="19" s="1"/>
  <c r="G116" i="19"/>
  <c r="G105" i="19" s="1"/>
  <c r="L113" i="19"/>
  <c r="L102" i="19" s="1"/>
  <c r="U89" i="19"/>
  <c r="Z88" i="19"/>
  <c r="R86" i="19"/>
  <c r="V85" i="19"/>
  <c r="Z84" i="19"/>
  <c r="R82" i="19"/>
  <c r="V81" i="19"/>
  <c r="Z80" i="19"/>
  <c r="K131" i="19"/>
  <c r="I127" i="19"/>
  <c r="F125" i="19"/>
  <c r="J119" i="19"/>
  <c r="J108" i="19" s="1"/>
  <c r="L115" i="19"/>
  <c r="L104" i="19" s="1"/>
  <c r="K113" i="19"/>
  <c r="K102" i="19" s="1"/>
  <c r="N97" i="19"/>
  <c r="T89" i="19"/>
  <c r="Y88" i="19"/>
  <c r="Q86" i="19"/>
  <c r="U85" i="19"/>
  <c r="Y84" i="19"/>
  <c r="Q82" i="19"/>
  <c r="U81" i="19"/>
  <c r="Y80" i="19"/>
  <c r="L130" i="19"/>
  <c r="H127" i="19"/>
  <c r="L118" i="19"/>
  <c r="L107" i="19" s="1"/>
  <c r="K115" i="19"/>
  <c r="K104" i="19" s="1"/>
  <c r="J113" i="19"/>
  <c r="J102" i="19" s="1"/>
  <c r="H104" i="19"/>
  <c r="S89" i="19"/>
  <c r="X88" i="19"/>
  <c r="T85" i="19"/>
  <c r="X84" i="19"/>
  <c r="T81" i="19"/>
  <c r="X80" i="19"/>
  <c r="K130" i="19"/>
  <c r="G127" i="19"/>
  <c r="L124" i="19"/>
  <c r="K118" i="19"/>
  <c r="K107" i="19" s="1"/>
  <c r="J115" i="19"/>
  <c r="J104" i="19" s="1"/>
  <c r="I113" i="19"/>
  <c r="I102" i="19" s="1"/>
  <c r="R89" i="19"/>
  <c r="J130" i="19"/>
  <c r="L126" i="19"/>
  <c r="K124" i="19"/>
  <c r="J118" i="19"/>
  <c r="J107" i="19" s="1"/>
  <c r="I115" i="19"/>
  <c r="I104" i="19" s="1"/>
  <c r="H113" i="19"/>
  <c r="H102" i="19" s="1"/>
  <c r="N98" i="19"/>
  <c r="L129" i="19"/>
  <c r="K129" i="19"/>
  <c r="J126" i="19"/>
  <c r="I124" i="19"/>
  <c r="L117" i="19"/>
  <c r="L106" i="19" s="1"/>
  <c r="G115" i="19"/>
  <c r="G104" i="19" s="1"/>
  <c r="F113" i="19"/>
  <c r="F102" i="19" s="1"/>
  <c r="T88" i="19"/>
  <c r="X87" i="19"/>
  <c r="J129" i="19"/>
  <c r="I126" i="19"/>
  <c r="H124" i="19"/>
  <c r="K117" i="19"/>
  <c r="K106" i="19" s="1"/>
  <c r="F115" i="19"/>
  <c r="F104" i="19" s="1"/>
  <c r="N99" i="19"/>
  <c r="S88" i="19"/>
  <c r="W87" i="19"/>
  <c r="S84" i="19"/>
  <c r="W83" i="19"/>
  <c r="I129" i="19"/>
  <c r="H126" i="19"/>
  <c r="G124" i="19"/>
  <c r="J117" i="19"/>
  <c r="J106" i="19" s="1"/>
  <c r="L114" i="19"/>
  <c r="L103" i="19" s="1"/>
  <c r="N94" i="19"/>
  <c r="L128" i="19"/>
  <c r="G126" i="19"/>
  <c r="F124" i="19"/>
  <c r="I117" i="19"/>
  <c r="I106" i="19" s="1"/>
  <c r="K114" i="19"/>
  <c r="K103" i="19" s="1"/>
  <c r="Q88" i="19"/>
  <c r="U87" i="19"/>
  <c r="Y86" i="19"/>
  <c r="Q84" i="19"/>
  <c r="U83" i="19"/>
  <c r="Y82" i="19"/>
  <c r="U79" i="19"/>
  <c r="K128" i="19"/>
  <c r="F126" i="19"/>
  <c r="H117" i="19"/>
  <c r="H106" i="19" s="1"/>
  <c r="J114" i="19"/>
  <c r="J103" i="19" s="1"/>
  <c r="N100" i="19"/>
  <c r="J128" i="19"/>
  <c r="L125" i="19"/>
  <c r="L116" i="19"/>
  <c r="L105" i="19" s="1"/>
  <c r="I114" i="19"/>
  <c r="I103" i="19" s="1"/>
  <c r="H128" i="19"/>
  <c r="J125" i="19"/>
  <c r="L120" i="19"/>
  <c r="L109" i="19" s="1"/>
  <c r="J116" i="19"/>
  <c r="J105" i="19" s="1"/>
  <c r="G114" i="19"/>
  <c r="G103" i="19" s="1"/>
  <c r="X89" i="19"/>
  <c r="Q87" i="19"/>
  <c r="U86" i="19"/>
  <c r="A26" i="19"/>
  <c r="D26" i="19" s="1"/>
  <c r="A42" i="19"/>
  <c r="D42" i="19" s="1"/>
  <c r="A61" i="19"/>
  <c r="D61" i="19" s="1"/>
  <c r="R83" i="19"/>
  <c r="U84" i="19"/>
  <c r="Y85" i="19"/>
  <c r="V88" i="19"/>
  <c r="K116" i="19"/>
  <c r="K105" i="19" s="1"/>
  <c r="D21" i="20"/>
  <c r="C77" i="20" a="1"/>
  <c r="T86" i="20"/>
  <c r="G114" i="20"/>
  <c r="G103" i="20" s="1"/>
  <c r="A33" i="19"/>
  <c r="D33" i="19" s="1"/>
  <c r="H35" i="19"/>
  <c r="A49" i="19"/>
  <c r="D49" i="19" s="1"/>
  <c r="H51" i="19"/>
  <c r="S82" i="19"/>
  <c r="S83" i="19"/>
  <c r="V84" i="19"/>
  <c r="Z85" i="19"/>
  <c r="W88" i="19"/>
  <c r="I118" i="19"/>
  <c r="I107" i="19" s="1"/>
  <c r="U86" i="20"/>
  <c r="H114" i="20"/>
  <c r="H103" i="20" s="1"/>
  <c r="H24" i="21"/>
  <c r="H35" i="21"/>
  <c r="H30" i="21"/>
  <c r="H39" i="21"/>
  <c r="A41" i="21"/>
  <c r="D41" i="21" s="1"/>
  <c r="A24" i="19"/>
  <c r="D24" i="19" s="1"/>
  <c r="H26" i="19"/>
  <c r="A40" i="19"/>
  <c r="D40" i="19" s="1"/>
  <c r="H42" i="19"/>
  <c r="A56" i="19"/>
  <c r="D56" i="19" s="1"/>
  <c r="H61" i="19"/>
  <c r="T82" i="19"/>
  <c r="T83" i="19"/>
  <c r="W84" i="19"/>
  <c r="L119" i="19"/>
  <c r="L108" i="19" s="1"/>
  <c r="H55" i="20"/>
  <c r="H57" i="20"/>
  <c r="H59" i="20"/>
  <c r="H61" i="20"/>
  <c r="H63" i="20"/>
  <c r="H49" i="20"/>
  <c r="H51" i="20"/>
  <c r="A26" i="20"/>
  <c r="D26" i="20" s="1"/>
  <c r="J118" i="20"/>
  <c r="J107" i="20" s="1"/>
  <c r="A31" i="19"/>
  <c r="D31" i="19" s="1"/>
  <c r="H33" i="19"/>
  <c r="A47" i="19"/>
  <c r="D47" i="19" s="1"/>
  <c r="H49" i="19"/>
  <c r="A64" i="19"/>
  <c r="D64" i="19" s="1"/>
  <c r="U82" i="19"/>
  <c r="V83" i="19"/>
  <c r="R87" i="19"/>
  <c r="K120" i="19"/>
  <c r="K109" i="19" s="1"/>
  <c r="A40" i="20"/>
  <c r="D40" i="20" s="1"/>
  <c r="Q87" i="20"/>
  <c r="K118" i="20"/>
  <c r="K107" i="20" s="1"/>
  <c r="A22" i="19"/>
  <c r="A38" i="19"/>
  <c r="D38" i="19" s="1"/>
  <c r="H40" i="19"/>
  <c r="A54" i="19"/>
  <c r="D54" i="19" s="1"/>
  <c r="A59" i="19"/>
  <c r="D59" i="19" s="1"/>
  <c r="H64" i="19"/>
  <c r="V82" i="19"/>
  <c r="X83" i="19"/>
  <c r="S87" i="19"/>
  <c r="H105" i="19"/>
  <c r="L121" i="19"/>
  <c r="L110" i="19" s="1"/>
  <c r="X81" i="20"/>
  <c r="H126" i="20"/>
  <c r="A29" i="19"/>
  <c r="D29" i="19" s="1"/>
  <c r="H31" i="19"/>
  <c r="A45" i="19"/>
  <c r="D45" i="19" s="1"/>
  <c r="H47" i="19"/>
  <c r="T80" i="19"/>
  <c r="W81" i="19"/>
  <c r="W82" i="19"/>
  <c r="Y83" i="19"/>
  <c r="T87" i="19"/>
  <c r="J124" i="19"/>
  <c r="Y81" i="20"/>
  <c r="I126" i="20"/>
  <c r="A36" i="19"/>
  <c r="D36" i="19" s="1"/>
  <c r="H38" i="19"/>
  <c r="A52" i="19"/>
  <c r="D52" i="19" s="1"/>
  <c r="H54" i="19"/>
  <c r="H59" i="19"/>
  <c r="A62" i="19"/>
  <c r="D62" i="19" s="1"/>
  <c r="T79" i="19"/>
  <c r="U80" i="19"/>
  <c r="X81" i="19"/>
  <c r="X82" i="19"/>
  <c r="Z83" i="19"/>
  <c r="V87" i="19"/>
  <c r="N95" i="19"/>
  <c r="H125" i="19"/>
  <c r="A56" i="20"/>
  <c r="D56" i="20" s="1"/>
  <c r="T82" i="20"/>
  <c r="N97" i="20"/>
  <c r="K131" i="20"/>
  <c r="A27" i="19"/>
  <c r="D27" i="19" s="1"/>
  <c r="A43" i="19"/>
  <c r="D43" i="19" s="1"/>
  <c r="H45" i="19"/>
  <c r="V79" i="19"/>
  <c r="V80" i="19"/>
  <c r="Y81" i="19"/>
  <c r="Z82" i="19"/>
  <c r="Y87" i="19"/>
  <c r="Q89" i="19"/>
  <c r="I125" i="19"/>
  <c r="A42" i="20"/>
  <c r="D42" i="20" s="1"/>
  <c r="U82" i="20"/>
  <c r="I129" i="21"/>
  <c r="H126" i="21"/>
  <c r="G124" i="21"/>
  <c r="J117" i="21"/>
  <c r="J106" i="21" s="1"/>
  <c r="L114" i="21"/>
  <c r="L103" i="21" s="1"/>
  <c r="N94" i="21"/>
  <c r="R88" i="21"/>
  <c r="V87" i="21"/>
  <c r="Z86" i="21"/>
  <c r="R84" i="21"/>
  <c r="V83" i="21"/>
  <c r="Z82" i="21"/>
  <c r="V79" i="21"/>
  <c r="A61" i="21"/>
  <c r="D61" i="21" s="1"/>
  <c r="A45" i="21"/>
  <c r="D45" i="21" s="1"/>
  <c r="A29" i="21"/>
  <c r="D29" i="21" s="1"/>
  <c r="L128" i="21"/>
  <c r="G126" i="21"/>
  <c r="F124" i="21"/>
  <c r="I117" i="21"/>
  <c r="I106" i="21" s="1"/>
  <c r="K114" i="21"/>
  <c r="K103" i="21" s="1"/>
  <c r="Q88" i="21"/>
  <c r="U87" i="21"/>
  <c r="Y86" i="21"/>
  <c r="Q84" i="21"/>
  <c r="U83" i="21"/>
  <c r="Y82" i="21"/>
  <c r="U79" i="21"/>
  <c r="A54" i="21"/>
  <c r="D54" i="21" s="1"/>
  <c r="A38" i="21"/>
  <c r="D38" i="21" s="1"/>
  <c r="A22" i="21"/>
  <c r="D22" i="21" s="1"/>
  <c r="K128" i="21"/>
  <c r="F126" i="21"/>
  <c r="H117" i="21"/>
  <c r="H106" i="21" s="1"/>
  <c r="J114" i="21"/>
  <c r="J103" i="21" s="1"/>
  <c r="N100" i="21"/>
  <c r="T87" i="21"/>
  <c r="X86" i="21"/>
  <c r="T83" i="21"/>
  <c r="X82" i="21"/>
  <c r="T79" i="21"/>
  <c r="A63" i="21"/>
  <c r="D63" i="21" s="1"/>
  <c r="A47" i="21"/>
  <c r="D47" i="21" s="1"/>
  <c r="A31" i="21"/>
  <c r="D31" i="21" s="1"/>
  <c r="J128" i="21"/>
  <c r="L125" i="21"/>
  <c r="L116" i="21"/>
  <c r="L105" i="21" s="1"/>
  <c r="I114" i="21"/>
  <c r="I103" i="21" s="1"/>
  <c r="N95" i="21"/>
  <c r="Z89" i="21"/>
  <c r="S87" i="21"/>
  <c r="W86" i="21"/>
  <c r="S83" i="21"/>
  <c r="W82" i="21"/>
  <c r="A56" i="21"/>
  <c r="D56" i="21" s="1"/>
  <c r="A40" i="21"/>
  <c r="D40" i="21" s="1"/>
  <c r="A24" i="21"/>
  <c r="D24" i="21" s="1"/>
  <c r="I128" i="21"/>
  <c r="K125" i="21"/>
  <c r="L121" i="21"/>
  <c r="L110" i="21" s="1"/>
  <c r="K116" i="21"/>
  <c r="K105" i="21" s="1"/>
  <c r="H114" i="21"/>
  <c r="H103" i="21" s="1"/>
  <c r="Y89" i="21"/>
  <c r="R87" i="21"/>
  <c r="V86" i="21"/>
  <c r="Z85" i="21"/>
  <c r="R83" i="21"/>
  <c r="V82" i="21"/>
  <c r="Z81" i="21"/>
  <c r="A65" i="21"/>
  <c r="D65" i="21" s="1"/>
  <c r="A49" i="21"/>
  <c r="D49" i="21" s="1"/>
  <c r="A33" i="21"/>
  <c r="D33" i="21" s="1"/>
  <c r="H128" i="21"/>
  <c r="J125" i="21"/>
  <c r="L120" i="21"/>
  <c r="L109" i="21" s="1"/>
  <c r="J116" i="21"/>
  <c r="J105" i="21" s="1"/>
  <c r="G114" i="21"/>
  <c r="G103" i="21" s="1"/>
  <c r="X89" i="21"/>
  <c r="Q87" i="21"/>
  <c r="U86" i="21"/>
  <c r="Y85" i="21"/>
  <c r="Q83" i="21"/>
  <c r="U82" i="21"/>
  <c r="Y81" i="21"/>
  <c r="L127" i="21"/>
  <c r="I125" i="21"/>
  <c r="K120" i="21"/>
  <c r="K109" i="21" s="1"/>
  <c r="I116" i="21"/>
  <c r="I105" i="21" s="1"/>
  <c r="F114" i="21"/>
  <c r="F103" i="21" s="1"/>
  <c r="N96" i="21"/>
  <c r="W89" i="21"/>
  <c r="T86" i="21"/>
  <c r="X85" i="21"/>
  <c r="T82" i="21"/>
  <c r="X81" i="21"/>
  <c r="A51" i="21"/>
  <c r="D51" i="21" s="1"/>
  <c r="A35" i="21"/>
  <c r="D35" i="21" s="1"/>
  <c r="L132" i="21"/>
  <c r="K127" i="21"/>
  <c r="H125" i="21"/>
  <c r="L119" i="21"/>
  <c r="L108" i="21" s="1"/>
  <c r="H116" i="21"/>
  <c r="H105" i="21" s="1"/>
  <c r="V89" i="21"/>
  <c r="S86" i="21"/>
  <c r="W85" i="21"/>
  <c r="S82" i="21"/>
  <c r="W81" i="21"/>
  <c r="A60" i="21"/>
  <c r="D60" i="21" s="1"/>
  <c r="A44" i="21"/>
  <c r="D44" i="21" s="1"/>
  <c r="A28" i="21"/>
  <c r="D28" i="21" s="1"/>
  <c r="L131" i="21"/>
  <c r="J127" i="21"/>
  <c r="G125" i="21"/>
  <c r="K119" i="21"/>
  <c r="K108" i="21" s="1"/>
  <c r="G116" i="21"/>
  <c r="G105" i="21" s="1"/>
  <c r="L113" i="21"/>
  <c r="L102" i="21" s="1"/>
  <c r="U89" i="21"/>
  <c r="Z88" i="21"/>
  <c r="R86" i="21"/>
  <c r="V85" i="21"/>
  <c r="Z84" i="21"/>
  <c r="R82" i="21"/>
  <c r="V81" i="21"/>
  <c r="Z80" i="21"/>
  <c r="A53" i="21"/>
  <c r="D53" i="21" s="1"/>
  <c r="K131" i="21"/>
  <c r="I127" i="21"/>
  <c r="F125" i="21"/>
  <c r="J119" i="21"/>
  <c r="J108" i="21" s="1"/>
  <c r="L115" i="21"/>
  <c r="L104" i="21" s="1"/>
  <c r="K113" i="21"/>
  <c r="K102" i="21" s="1"/>
  <c r="N97" i="21"/>
  <c r="T89" i="21"/>
  <c r="Y88" i="21"/>
  <c r="Q86" i="21"/>
  <c r="U85" i="21"/>
  <c r="Y84" i="21"/>
  <c r="Q82" i="21"/>
  <c r="U81" i="21"/>
  <c r="Y80" i="21"/>
  <c r="A62" i="21"/>
  <c r="D62" i="21" s="1"/>
  <c r="A46" i="21"/>
  <c r="D46" i="21" s="1"/>
  <c r="A30" i="21"/>
  <c r="D30" i="21" s="1"/>
  <c r="L130" i="21"/>
  <c r="H127" i="21"/>
  <c r="L118" i="21"/>
  <c r="L107" i="21" s="1"/>
  <c r="K115" i="21"/>
  <c r="K104" i="21" s="1"/>
  <c r="J113" i="21"/>
  <c r="J102" i="21" s="1"/>
  <c r="S89" i="21"/>
  <c r="X88" i="21"/>
  <c r="K130" i="21"/>
  <c r="G127" i="21"/>
  <c r="L124" i="21"/>
  <c r="K118" i="21"/>
  <c r="K107" i="21" s="1"/>
  <c r="J115" i="21"/>
  <c r="J104" i="21" s="1"/>
  <c r="I113" i="21"/>
  <c r="I102" i="21" s="1"/>
  <c r="R89" i="21"/>
  <c r="W88" i="21"/>
  <c r="S85" i="21"/>
  <c r="W84" i="21"/>
  <c r="W80" i="21"/>
  <c r="A64" i="21"/>
  <c r="D64" i="21" s="1"/>
  <c r="A48" i="21"/>
  <c r="D48" i="21" s="1"/>
  <c r="J130" i="21"/>
  <c r="L126" i="21"/>
  <c r="K124" i="21"/>
  <c r="J118" i="21"/>
  <c r="J107" i="21" s="1"/>
  <c r="I115" i="21"/>
  <c r="I104" i="21" s="1"/>
  <c r="H113" i="21"/>
  <c r="H102" i="21" s="1"/>
  <c r="F104" i="21"/>
  <c r="N98" i="21"/>
  <c r="Q89" i="21"/>
  <c r="V88" i="21"/>
  <c r="Z87" i="21"/>
  <c r="L129" i="21"/>
  <c r="K126" i="21"/>
  <c r="J124" i="21"/>
  <c r="I118" i="21"/>
  <c r="I107" i="21" s="1"/>
  <c r="H115" i="21"/>
  <c r="H104" i="21" s="1"/>
  <c r="G113" i="21"/>
  <c r="G102" i="21" s="1"/>
  <c r="P89" i="21"/>
  <c r="U88" i="21"/>
  <c r="Y87" i="21"/>
  <c r="Z79" i="21"/>
  <c r="A36" i="21"/>
  <c r="D36" i="21" s="1"/>
  <c r="X84" i="21"/>
  <c r="Y79" i="21"/>
  <c r="A59" i="21"/>
  <c r="D59" i="21" s="1"/>
  <c r="T88" i="21"/>
  <c r="V84" i="21"/>
  <c r="X79" i="21"/>
  <c r="A23" i="21"/>
  <c r="D23" i="21" s="1"/>
  <c r="S88" i="21"/>
  <c r="U84" i="21"/>
  <c r="W79" i="21"/>
  <c r="X87" i="21"/>
  <c r="T84" i="21"/>
  <c r="A58" i="21"/>
  <c r="D58" i="21" s="1"/>
  <c r="A39" i="21"/>
  <c r="D39" i="21" s="1"/>
  <c r="A27" i="21"/>
  <c r="D27" i="21" s="1"/>
  <c r="K129" i="21"/>
  <c r="W87" i="21"/>
  <c r="S84" i="21"/>
  <c r="T81" i="21"/>
  <c r="J129" i="21"/>
  <c r="A43" i="21"/>
  <c r="D43" i="21" s="1"/>
  <c r="J126" i="21"/>
  <c r="Z83" i="21"/>
  <c r="A57" i="21"/>
  <c r="D57" i="21" s="1"/>
  <c r="A52" i="21"/>
  <c r="D52" i="21" s="1"/>
  <c r="A34" i="21"/>
  <c r="D34" i="21" s="1"/>
  <c r="A26" i="21"/>
  <c r="D26" i="21" s="1"/>
  <c r="I126" i="21"/>
  <c r="Y83" i="21"/>
  <c r="I124" i="21"/>
  <c r="N99" i="21"/>
  <c r="X83" i="21"/>
  <c r="H124" i="21"/>
  <c r="W83" i="21"/>
  <c r="X80" i="21"/>
  <c r="A42" i="21"/>
  <c r="D42" i="21" s="1"/>
  <c r="A21" i="21"/>
  <c r="L117" i="21"/>
  <c r="L106" i="21" s="1"/>
  <c r="V80" i="21"/>
  <c r="A37" i="21"/>
  <c r="D37" i="21" s="1"/>
  <c r="K117" i="21"/>
  <c r="K106" i="21" s="1"/>
  <c r="T85" i="21"/>
  <c r="U80" i="21"/>
  <c r="A55" i="21"/>
  <c r="D55" i="21" s="1"/>
  <c r="A25" i="21"/>
  <c r="D25" i="21" s="1"/>
  <c r="G115" i="21"/>
  <c r="G104" i="21" s="1"/>
  <c r="R85" i="21"/>
  <c r="T80" i="21"/>
  <c r="A50" i="21"/>
  <c r="D50" i="21" s="1"/>
  <c r="A34" i="19"/>
  <c r="D34" i="19" s="1"/>
  <c r="H36" i="19"/>
  <c r="A50" i="19"/>
  <c r="D50" i="19" s="1"/>
  <c r="H52" i="19"/>
  <c r="A57" i="19"/>
  <c r="D57" i="19" s="1"/>
  <c r="H62" i="19"/>
  <c r="W79" i="19"/>
  <c r="W80" i="19"/>
  <c r="Z81" i="19"/>
  <c r="S86" i="19"/>
  <c r="Z87" i="19"/>
  <c r="V89" i="19"/>
  <c r="K125" i="19"/>
  <c r="A35" i="20"/>
  <c r="D35" i="20" s="1"/>
  <c r="A25" i="19"/>
  <c r="D25" i="19" s="1"/>
  <c r="H27" i="19"/>
  <c r="A41" i="19"/>
  <c r="D41" i="19" s="1"/>
  <c r="H43" i="19"/>
  <c r="A65" i="19"/>
  <c r="D65" i="19" s="1"/>
  <c r="X79" i="19"/>
  <c r="T86" i="19"/>
  <c r="W89" i="19"/>
  <c r="G113" i="19"/>
  <c r="G102" i="19" s="1"/>
  <c r="K126" i="19"/>
  <c r="H30" i="20"/>
  <c r="H39" i="20"/>
  <c r="H24" i="20"/>
  <c r="H35" i="20"/>
  <c r="Q83" i="20"/>
  <c r="A32" i="19"/>
  <c r="D32" i="19" s="1"/>
  <c r="A48" i="19"/>
  <c r="D48" i="19" s="1"/>
  <c r="H50" i="19"/>
  <c r="A60" i="19"/>
  <c r="D60" i="19" s="1"/>
  <c r="Y79" i="19"/>
  <c r="V86" i="19"/>
  <c r="Y89" i="19"/>
  <c r="N96" i="19"/>
  <c r="K127" i="19"/>
  <c r="A58" i="20"/>
  <c r="D58" i="20" s="1"/>
  <c r="N99" i="20"/>
  <c r="A23" i="19"/>
  <c r="A39" i="19"/>
  <c r="D39" i="19" s="1"/>
  <c r="H41" i="19"/>
  <c r="A55" i="19"/>
  <c r="D55" i="19" s="1"/>
  <c r="H65" i="19"/>
  <c r="Z79" i="19"/>
  <c r="Q85" i="19"/>
  <c r="W86" i="19"/>
  <c r="Z89" i="19"/>
  <c r="F114" i="19"/>
  <c r="F103" i="19" s="1"/>
  <c r="L127" i="19"/>
  <c r="A51" i="20"/>
  <c r="D51" i="20" s="1"/>
  <c r="A30" i="19"/>
  <c r="D30" i="19" s="1"/>
  <c r="A46" i="19"/>
  <c r="D46" i="19" s="1"/>
  <c r="H60" i="19"/>
  <c r="R85" i="19"/>
  <c r="X86" i="19"/>
  <c r="H114" i="19"/>
  <c r="H103" i="19" s="1"/>
  <c r="I128" i="19"/>
  <c r="F113" i="21"/>
  <c r="F102" i="21" s="1"/>
  <c r="H31" i="21"/>
  <c r="H40" i="21"/>
  <c r="H28" i="21"/>
  <c r="D21" i="21"/>
  <c r="C77" i="21" a="1"/>
  <c r="H65" i="20"/>
  <c r="H40" i="20"/>
  <c r="H56" i="20"/>
  <c r="H25" i="21"/>
  <c r="H31" i="20"/>
  <c r="H47" i="20"/>
  <c r="H26" i="21"/>
  <c r="H37" i="21"/>
  <c r="H46" i="21"/>
  <c r="H32" i="21"/>
  <c r="H38" i="20"/>
  <c r="H54" i="20"/>
  <c r="H29" i="20"/>
  <c r="H45" i="20"/>
  <c r="H36" i="20"/>
  <c r="H52" i="20"/>
  <c r="H50" i="20"/>
  <c r="H43" i="21"/>
  <c r="H41" i="20"/>
  <c r="H32" i="20"/>
  <c r="H64" i="20"/>
  <c r="H56" i="21"/>
  <c r="H65" i="21"/>
  <c r="H58" i="21"/>
  <c r="H60" i="21"/>
  <c r="H62" i="21"/>
  <c r="H64" i="21"/>
  <c r="H50" i="21"/>
  <c r="H44" i="21"/>
  <c r="H54" i="21"/>
  <c r="AO111" i="23"/>
  <c r="AD111" i="23"/>
  <c r="AO124" i="23"/>
  <c r="AD124" i="23"/>
  <c r="AD137" i="23"/>
  <c r="AO59" i="23"/>
  <c r="AO72" i="23"/>
  <c r="AD72" i="23"/>
  <c r="AO85" i="23"/>
  <c r="AO98" i="23"/>
  <c r="AD85" i="23"/>
  <c r="AD98" i="23"/>
  <c r="AO20" i="23"/>
  <c r="AO33" i="23"/>
  <c r="AD33" i="23"/>
  <c r="AD59" i="23"/>
  <c r="AO46" i="23"/>
  <c r="AD46" i="23"/>
  <c r="AD20" i="23"/>
  <c r="AO7" i="23"/>
  <c r="H46" i="22"/>
  <c r="H32" i="22"/>
  <c r="C18" i="23"/>
  <c r="K15" i="23"/>
  <c r="C12" i="23"/>
  <c r="K11" i="23"/>
  <c r="B18" i="23"/>
  <c r="K16" i="23"/>
  <c r="J15" i="23"/>
  <c r="K14" i="23"/>
  <c r="B12" i="23"/>
  <c r="J11" i="23"/>
  <c r="I17" i="23"/>
  <c r="F16" i="23"/>
  <c r="E15" i="23"/>
  <c r="F14" i="23"/>
  <c r="J13" i="23"/>
  <c r="H17" i="23"/>
  <c r="E16" i="23"/>
  <c r="D15" i="23"/>
  <c r="E14" i="23"/>
  <c r="I13" i="23"/>
  <c r="E11" i="23"/>
  <c r="G17" i="23"/>
  <c r="H13" i="23"/>
  <c r="I12" i="23"/>
  <c r="K9" i="23"/>
  <c r="F17" i="23"/>
  <c r="J14" i="23"/>
  <c r="G13" i="23"/>
  <c r="H12" i="23"/>
  <c r="I11" i="23"/>
  <c r="J9" i="23"/>
  <c r="E17" i="23"/>
  <c r="I14" i="23"/>
  <c r="E13" i="23"/>
  <c r="G12" i="23"/>
  <c r="H11" i="23"/>
  <c r="I9" i="23"/>
  <c r="D17" i="23"/>
  <c r="H14" i="23"/>
  <c r="D13" i="23"/>
  <c r="F12" i="23"/>
  <c r="G11" i="23"/>
  <c r="H9" i="23"/>
  <c r="C17" i="23"/>
  <c r="D14" i="23"/>
  <c r="C13" i="23"/>
  <c r="D12" i="23"/>
  <c r="F11" i="23"/>
  <c r="K10" i="23"/>
  <c r="G9" i="23"/>
  <c r="B17" i="23"/>
  <c r="I15" i="23"/>
  <c r="C14" i="23"/>
  <c r="B13" i="23"/>
  <c r="J10" i="23"/>
  <c r="F9" i="23"/>
  <c r="J18" i="23"/>
  <c r="G15" i="23"/>
  <c r="B14" i="23"/>
  <c r="I10" i="23"/>
  <c r="E9" i="23"/>
  <c r="I18" i="23"/>
  <c r="F15" i="23"/>
  <c r="H10" i="23"/>
  <c r="H18" i="23"/>
  <c r="C15" i="23"/>
  <c r="G10" i="23"/>
  <c r="G18" i="23"/>
  <c r="J16" i="23"/>
  <c r="B15" i="23"/>
  <c r="F10" i="23"/>
  <c r="F18" i="23"/>
  <c r="H16" i="23"/>
  <c r="E10" i="23"/>
  <c r="E18" i="23"/>
  <c r="G16" i="23"/>
  <c r="D18" i="23"/>
  <c r="D16" i="23"/>
  <c r="C16" i="23"/>
  <c r="H28" i="22"/>
  <c r="H44" i="22"/>
  <c r="Q83" i="22"/>
  <c r="H48" i="21"/>
  <c r="H48" i="22"/>
  <c r="H45" i="22"/>
  <c r="H38" i="22"/>
  <c r="H47" i="22"/>
  <c r="H33" i="22"/>
  <c r="A55" i="22"/>
  <c r="D55" i="22" s="1"/>
  <c r="S83" i="22"/>
  <c r="N96" i="22"/>
  <c r="H55" i="21"/>
  <c r="H23" i="22"/>
  <c r="H29" i="22"/>
  <c r="A41" i="22"/>
  <c r="D41" i="22" s="1"/>
  <c r="X89" i="22"/>
  <c r="J12" i="23"/>
  <c r="H53" i="21"/>
  <c r="L132" i="22"/>
  <c r="K127" i="22"/>
  <c r="H125" i="22"/>
  <c r="L119" i="22"/>
  <c r="L108" i="22" s="1"/>
  <c r="H116" i="22"/>
  <c r="H105" i="22" s="1"/>
  <c r="V89" i="22"/>
  <c r="S86" i="22"/>
  <c r="W85" i="22"/>
  <c r="S82" i="22"/>
  <c r="W81" i="22"/>
  <c r="A60" i="22"/>
  <c r="D60" i="22" s="1"/>
  <c r="A44" i="22"/>
  <c r="D44" i="22" s="1"/>
  <c r="A28" i="22"/>
  <c r="D28" i="22" s="1"/>
  <c r="L131" i="22"/>
  <c r="J127" i="22"/>
  <c r="G125" i="22"/>
  <c r="K119" i="22"/>
  <c r="K108" i="22" s="1"/>
  <c r="G116" i="22"/>
  <c r="G105" i="22" s="1"/>
  <c r="L113" i="22"/>
  <c r="L102" i="22" s="1"/>
  <c r="U89" i="22"/>
  <c r="Z88" i="22"/>
  <c r="R86" i="22"/>
  <c r="V85" i="22"/>
  <c r="Z84" i="22"/>
  <c r="R82" i="22"/>
  <c r="V81" i="22"/>
  <c r="Z80" i="22"/>
  <c r="A53" i="22"/>
  <c r="D53" i="22" s="1"/>
  <c r="A37" i="22"/>
  <c r="D37" i="22" s="1"/>
  <c r="A21" i="22"/>
  <c r="K131" i="22"/>
  <c r="I127" i="22"/>
  <c r="F125" i="22"/>
  <c r="J119" i="22"/>
  <c r="J108" i="22" s="1"/>
  <c r="L115" i="22"/>
  <c r="L104" i="22" s="1"/>
  <c r="K113" i="22"/>
  <c r="K102" i="22" s="1"/>
  <c r="N97" i="22"/>
  <c r="T89" i="22"/>
  <c r="Y88" i="22"/>
  <c r="Q86" i="22"/>
  <c r="U85" i="22"/>
  <c r="Y84" i="22"/>
  <c r="Q82" i="22"/>
  <c r="U81" i="22"/>
  <c r="Y80" i="22"/>
  <c r="A62" i="22"/>
  <c r="D62" i="22" s="1"/>
  <c r="A46" i="22"/>
  <c r="D46" i="22" s="1"/>
  <c r="A30" i="22"/>
  <c r="D30" i="22" s="1"/>
  <c r="L130" i="22"/>
  <c r="H127" i="22"/>
  <c r="L118" i="22"/>
  <c r="L107" i="22" s="1"/>
  <c r="K115" i="22"/>
  <c r="K104" i="22" s="1"/>
  <c r="J113" i="22"/>
  <c r="J102" i="22" s="1"/>
  <c r="S89" i="22"/>
  <c r="X88" i="22"/>
  <c r="T85" i="22"/>
  <c r="X84" i="22"/>
  <c r="T81" i="22"/>
  <c r="X80" i="22"/>
  <c r="K130" i="22"/>
  <c r="G127" i="22"/>
  <c r="L124" i="22"/>
  <c r="K118" i="22"/>
  <c r="K107" i="22" s="1"/>
  <c r="J115" i="22"/>
  <c r="J104" i="22" s="1"/>
  <c r="I113" i="22"/>
  <c r="I102" i="22" s="1"/>
  <c r="R89" i="22"/>
  <c r="W88" i="22"/>
  <c r="S85" i="22"/>
  <c r="W84" i="22"/>
  <c r="W80" i="22"/>
  <c r="A64" i="22"/>
  <c r="D64" i="22" s="1"/>
  <c r="A48" i="22"/>
  <c r="D48" i="22" s="1"/>
  <c r="J130" i="22"/>
  <c r="L126" i="22"/>
  <c r="K124" i="22"/>
  <c r="J118" i="22"/>
  <c r="J107" i="22" s="1"/>
  <c r="I115" i="22"/>
  <c r="I104" i="22" s="1"/>
  <c r="H113" i="22"/>
  <c r="H102" i="22" s="1"/>
  <c r="N98" i="22"/>
  <c r="Q89" i="22"/>
  <c r="V88" i="22"/>
  <c r="Z87" i="22"/>
  <c r="R85" i="22"/>
  <c r="V84" i="22"/>
  <c r="Z83" i="22"/>
  <c r="V80" i="22"/>
  <c r="Z79" i="22"/>
  <c r="L129" i="22"/>
  <c r="K126" i="22"/>
  <c r="J124" i="22"/>
  <c r="I118" i="22"/>
  <c r="I107" i="22" s="1"/>
  <c r="H115" i="22"/>
  <c r="H104" i="22" s="1"/>
  <c r="G113" i="22"/>
  <c r="G102" i="22" s="1"/>
  <c r="U88" i="22"/>
  <c r="Y87" i="22"/>
  <c r="Q85" i="22"/>
  <c r="U84" i="22"/>
  <c r="Y83" i="22"/>
  <c r="U80" i="22"/>
  <c r="Y79" i="22"/>
  <c r="A50" i="22"/>
  <c r="D50" i="22" s="1"/>
  <c r="A34" i="22"/>
  <c r="D34" i="22" s="1"/>
  <c r="K129" i="22"/>
  <c r="J126" i="22"/>
  <c r="I124" i="22"/>
  <c r="L117" i="22"/>
  <c r="L106" i="22" s="1"/>
  <c r="G115" i="22"/>
  <c r="G104" i="22" s="1"/>
  <c r="F113" i="22"/>
  <c r="F102" i="22" s="1"/>
  <c r="T88" i="22"/>
  <c r="X87" i="22"/>
  <c r="T84" i="22"/>
  <c r="X83" i="22"/>
  <c r="T80" i="22"/>
  <c r="X79" i="22"/>
  <c r="A59" i="22"/>
  <c r="D59" i="22" s="1"/>
  <c r="A43" i="22"/>
  <c r="D43" i="22" s="1"/>
  <c r="A27" i="22"/>
  <c r="D27" i="22" s="1"/>
  <c r="J129" i="22"/>
  <c r="I126" i="22"/>
  <c r="H124" i="22"/>
  <c r="K117" i="22"/>
  <c r="K106" i="22" s="1"/>
  <c r="F115" i="22"/>
  <c r="F104" i="22" s="1"/>
  <c r="N99" i="22"/>
  <c r="S88" i="22"/>
  <c r="W87" i="22"/>
  <c r="S84" i="22"/>
  <c r="W83" i="22"/>
  <c r="W79" i="22"/>
  <c r="A52" i="22"/>
  <c r="D52" i="22" s="1"/>
  <c r="A36" i="22"/>
  <c r="D36" i="22" s="1"/>
  <c r="I129" i="22"/>
  <c r="H126" i="22"/>
  <c r="G124" i="22"/>
  <c r="J117" i="22"/>
  <c r="J106" i="22" s="1"/>
  <c r="L114" i="22"/>
  <c r="L103" i="22" s="1"/>
  <c r="N94" i="22"/>
  <c r="R88" i="22"/>
  <c r="V87" i="22"/>
  <c r="Z86" i="22"/>
  <c r="R84" i="22"/>
  <c r="V83" i="22"/>
  <c r="Z82" i="22"/>
  <c r="V79" i="22"/>
  <c r="A61" i="22"/>
  <c r="D61" i="22" s="1"/>
  <c r="A45" i="22"/>
  <c r="D45" i="22" s="1"/>
  <c r="L128" i="22"/>
  <c r="G126" i="22"/>
  <c r="F124" i="22"/>
  <c r="I117" i="22"/>
  <c r="I106" i="22" s="1"/>
  <c r="K114" i="22"/>
  <c r="K103" i="22" s="1"/>
  <c r="Q88" i="22"/>
  <c r="U87" i="22"/>
  <c r="Y86" i="22"/>
  <c r="Q84" i="22"/>
  <c r="U83" i="22"/>
  <c r="Y82" i="22"/>
  <c r="U79" i="22"/>
  <c r="A54" i="22"/>
  <c r="D54" i="22" s="1"/>
  <c r="A38" i="22"/>
  <c r="D38" i="22" s="1"/>
  <c r="K128" i="22"/>
  <c r="F126" i="22"/>
  <c r="H117" i="22"/>
  <c r="H106" i="22" s="1"/>
  <c r="J114" i="22"/>
  <c r="J103" i="22" s="1"/>
  <c r="N100" i="22"/>
  <c r="T87" i="22"/>
  <c r="X86" i="22"/>
  <c r="T83" i="22"/>
  <c r="X82" i="22"/>
  <c r="T79" i="22"/>
  <c r="A63" i="22"/>
  <c r="D63" i="22" s="1"/>
  <c r="A47" i="22"/>
  <c r="D47" i="22" s="1"/>
  <c r="A31" i="22"/>
  <c r="D31" i="22" s="1"/>
  <c r="J128" i="22"/>
  <c r="L125" i="22"/>
  <c r="L116" i="22"/>
  <c r="L105" i="22" s="1"/>
  <c r="I114" i="22"/>
  <c r="I103" i="22" s="1"/>
  <c r="F103" i="22"/>
  <c r="N95" i="22"/>
  <c r="Z89" i="22"/>
  <c r="S87" i="22"/>
  <c r="W86" i="22"/>
  <c r="I128" i="22"/>
  <c r="K125" i="22"/>
  <c r="L121" i="22"/>
  <c r="L110" i="22" s="1"/>
  <c r="K116" i="22"/>
  <c r="K105" i="22" s="1"/>
  <c r="H114" i="22"/>
  <c r="H103" i="22" s="1"/>
  <c r="Y89" i="22"/>
  <c r="R87" i="22"/>
  <c r="V86" i="22"/>
  <c r="Z85" i="22"/>
  <c r="A22" i="22"/>
  <c r="D22" i="22" s="1"/>
  <c r="A29" i="22"/>
  <c r="D29" i="22" s="1"/>
  <c r="A33" i="22"/>
  <c r="D33" i="22" s="1"/>
  <c r="H41" i="22"/>
  <c r="G114" i="22"/>
  <c r="G103" i="22" s="1"/>
  <c r="K12" i="23"/>
  <c r="H55" i="22"/>
  <c r="H59" i="22"/>
  <c r="H61" i="22"/>
  <c r="H63" i="22"/>
  <c r="H49" i="22"/>
  <c r="I116" i="22"/>
  <c r="I105" i="22" s="1"/>
  <c r="K13" i="23"/>
  <c r="H51" i="21"/>
  <c r="D21" i="22"/>
  <c r="C77" i="22" a="1"/>
  <c r="H30" i="22"/>
  <c r="H39" i="22"/>
  <c r="H37" i="22"/>
  <c r="X81" i="22"/>
  <c r="J116" i="22"/>
  <c r="J105" i="22" s="1"/>
  <c r="H26" i="22"/>
  <c r="A42" i="22"/>
  <c r="D42" i="22" s="1"/>
  <c r="H51" i="22"/>
  <c r="A57" i="22"/>
  <c r="D57" i="22" s="1"/>
  <c r="Y81" i="22"/>
  <c r="K120" i="22"/>
  <c r="K109" i="22" s="1"/>
  <c r="H33" i="21"/>
  <c r="H49" i="21"/>
  <c r="A23" i="22"/>
  <c r="D23" i="22" s="1"/>
  <c r="H57" i="22"/>
  <c r="Z81" i="22"/>
  <c r="X85" i="22"/>
  <c r="L120" i="22"/>
  <c r="L109" i="22" s="1"/>
  <c r="H62" i="22"/>
  <c r="H64" i="22"/>
  <c r="H50" i="22"/>
  <c r="H52" i="22"/>
  <c r="H54" i="22"/>
  <c r="H56" i="22"/>
  <c r="H65" i="22"/>
  <c r="H42" i="22"/>
  <c r="Y85" i="22"/>
  <c r="I125" i="22"/>
  <c r="H36" i="22"/>
  <c r="H40" i="22"/>
  <c r="H27" i="22"/>
  <c r="H34" i="22"/>
  <c r="T82" i="22"/>
  <c r="T86" i="22"/>
  <c r="J125" i="22"/>
  <c r="B16" i="23"/>
  <c r="J15" i="24"/>
  <c r="K15" i="24"/>
  <c r="E15" i="24"/>
  <c r="F15" i="24"/>
  <c r="P89" i="7" l="1"/>
  <c r="P83" i="6"/>
  <c r="P82" i="5"/>
  <c r="P85" i="22"/>
  <c r="P88" i="20"/>
  <c r="P83" i="8"/>
  <c r="P84" i="15"/>
  <c r="P82" i="8"/>
  <c r="P88" i="22"/>
  <c r="P82" i="15"/>
  <c r="P84" i="5"/>
  <c r="P85" i="7"/>
  <c r="O97" i="7" s="1"/>
  <c r="P84" i="8"/>
  <c r="P88" i="6"/>
  <c r="O100" i="6" s="1"/>
  <c r="P88" i="9"/>
  <c r="P82" i="10"/>
  <c r="P84" i="16"/>
  <c r="P82" i="19"/>
  <c r="P84" i="10"/>
  <c r="P87" i="5"/>
  <c r="P83" i="20"/>
  <c r="P88" i="12"/>
  <c r="P85" i="17"/>
  <c r="P86" i="14"/>
  <c r="P85" i="5"/>
  <c r="P84" i="12"/>
  <c r="O96" i="12" s="1"/>
  <c r="P83" i="13"/>
  <c r="P88" i="17"/>
  <c r="P82" i="4"/>
  <c r="K84" i="7"/>
  <c r="K96" i="7" s="1"/>
  <c r="P82" i="7"/>
  <c r="O94" i="7" s="1"/>
  <c r="P86" i="17"/>
  <c r="P83" i="18"/>
  <c r="P87" i="18"/>
  <c r="P86" i="16"/>
  <c r="E86" i="14"/>
  <c r="E98" i="14" s="1"/>
  <c r="P87" i="13"/>
  <c r="D83" i="8"/>
  <c r="D95" i="8" s="1"/>
  <c r="P87" i="10"/>
  <c r="P88" i="10"/>
  <c r="P83" i="7"/>
  <c r="P89" i="19"/>
  <c r="P84" i="17"/>
  <c r="O96" i="17" s="1"/>
  <c r="P82" i="12"/>
  <c r="P86" i="9"/>
  <c r="P85" i="11"/>
  <c r="G87" i="8"/>
  <c r="G99" i="8" s="1"/>
  <c r="P86" i="7"/>
  <c r="O98" i="7" s="1"/>
  <c r="I83" i="7"/>
  <c r="I95" i="7" s="1"/>
  <c r="P87" i="7"/>
  <c r="P82" i="3"/>
  <c r="O94" i="3" s="1"/>
  <c r="P84" i="4"/>
  <c r="P89" i="3"/>
  <c r="P88" i="3"/>
  <c r="G85" i="7"/>
  <c r="G97" i="7" s="1"/>
  <c r="H82" i="8"/>
  <c r="H94" i="8" s="1"/>
  <c r="P85" i="19"/>
  <c r="P83" i="21"/>
  <c r="P82" i="14"/>
  <c r="O94" i="14" s="1"/>
  <c r="P82" i="13"/>
  <c r="P83" i="11"/>
  <c r="I86" i="9"/>
  <c r="I98" i="9" s="1"/>
  <c r="P85" i="8"/>
  <c r="P86" i="8"/>
  <c r="P85" i="6"/>
  <c r="O97" i="6" s="1"/>
  <c r="P83" i="4"/>
  <c r="O95" i="4" s="1"/>
  <c r="K80" i="7"/>
  <c r="K92" i="7" s="1"/>
  <c r="P86" i="3"/>
  <c r="P82" i="16"/>
  <c r="P84" i="9"/>
  <c r="P82" i="11"/>
  <c r="I83" i="8"/>
  <c r="I95" i="8" s="1"/>
  <c r="P89" i="6"/>
  <c r="P82" i="6"/>
  <c r="O94" i="6" s="1"/>
  <c r="P84" i="6"/>
  <c r="O96" i="6" s="1"/>
  <c r="P88" i="18"/>
  <c r="P87" i="21"/>
  <c r="O99" i="21" s="1"/>
  <c r="P83" i="15"/>
  <c r="P84" i="13"/>
  <c r="P87" i="11"/>
  <c r="O99" i="11" s="1"/>
  <c r="P85" i="10"/>
  <c r="O97" i="10" s="1"/>
  <c r="D88" i="7"/>
  <c r="D100" i="7" s="1"/>
  <c r="P84" i="3"/>
  <c r="O96" i="3" s="1"/>
  <c r="P84" i="14"/>
  <c r="P88" i="13"/>
  <c r="G82" i="16"/>
  <c r="G94" i="16" s="1"/>
  <c r="P84" i="21"/>
  <c r="P88" i="21"/>
  <c r="C80" i="16"/>
  <c r="P86" i="15"/>
  <c r="O98" i="15" s="1"/>
  <c r="P89" i="8"/>
  <c r="L79" i="7"/>
  <c r="L91" i="7" s="1"/>
  <c r="P86" i="6"/>
  <c r="O98" i="6" s="1"/>
  <c r="P88" i="5"/>
  <c r="O100" i="5" s="1"/>
  <c r="P82" i="22"/>
  <c r="P88" i="19"/>
  <c r="P82" i="20"/>
  <c r="K88" i="14"/>
  <c r="K100" i="14" s="1"/>
  <c r="P85" i="15"/>
  <c r="P86" i="13"/>
  <c r="O98" i="13" s="1"/>
  <c r="P85" i="4"/>
  <c r="P89" i="22"/>
  <c r="P83" i="19"/>
  <c r="P84" i="20"/>
  <c r="P89" i="18"/>
  <c r="P85" i="18"/>
  <c r="P84" i="18"/>
  <c r="P87" i="16"/>
  <c r="P88" i="14"/>
  <c r="P89" i="15"/>
  <c r="P87" i="15"/>
  <c r="P84" i="11"/>
  <c r="P86" i="11"/>
  <c r="I79" i="8"/>
  <c r="P89" i="10"/>
  <c r="C87" i="7"/>
  <c r="C99" i="7" s="1"/>
  <c r="P84" i="22"/>
  <c r="I83" i="19"/>
  <c r="I95" i="19" s="1"/>
  <c r="P86" i="20"/>
  <c r="O98" i="20" s="1"/>
  <c r="P88" i="15"/>
  <c r="P88" i="11"/>
  <c r="O100" i="11" s="1"/>
  <c r="P88" i="7"/>
  <c r="P89" i="5"/>
  <c r="P86" i="12"/>
  <c r="P88" i="16"/>
  <c r="P83" i="5"/>
  <c r="O95" i="5" s="1"/>
  <c r="P87" i="3"/>
  <c r="O99" i="3" s="1"/>
  <c r="P83" i="10"/>
  <c r="P82" i="18"/>
  <c r="P85" i="13"/>
  <c r="P85" i="12"/>
  <c r="K79" i="8"/>
  <c r="K91" i="8" s="1"/>
  <c r="E86" i="7"/>
  <c r="E98" i="7" s="1"/>
  <c r="P87" i="6"/>
  <c r="D81" i="7"/>
  <c r="G80" i="7"/>
  <c r="G92" i="7" s="1"/>
  <c r="P86" i="5"/>
  <c r="P86" i="4"/>
  <c r="P87" i="20"/>
  <c r="P89" i="13"/>
  <c r="P82" i="9"/>
  <c r="P86" i="10"/>
  <c r="P88" i="8"/>
  <c r="P87" i="8"/>
  <c r="H85" i="7"/>
  <c r="H97" i="7" s="1"/>
  <c r="I80" i="7"/>
  <c r="I92" i="7" s="1"/>
  <c r="K79" i="7"/>
  <c r="K91" i="7" s="1"/>
  <c r="P89" i="4"/>
  <c r="P86" i="19"/>
  <c r="P86" i="18"/>
  <c r="O98" i="18" s="1"/>
  <c r="P87" i="4"/>
  <c r="P88" i="4"/>
  <c r="O100" i="4" s="1"/>
  <c r="P83" i="3"/>
  <c r="O95" i="3" s="1"/>
  <c r="I87" i="19"/>
  <c r="I99" i="19" s="1"/>
  <c r="G79" i="19"/>
  <c r="D85" i="19"/>
  <c r="D97" i="19" s="1"/>
  <c r="K85" i="19"/>
  <c r="K97" i="19" s="1"/>
  <c r="P87" i="19"/>
  <c r="E77" i="22"/>
  <c r="D77" i="22"/>
  <c r="C77" i="22"/>
  <c r="L77" i="22"/>
  <c r="K77" i="22"/>
  <c r="J77" i="22"/>
  <c r="I77" i="22"/>
  <c r="H77" i="22"/>
  <c r="G77" i="22"/>
  <c r="F77" i="22"/>
  <c r="P85" i="21"/>
  <c r="H82" i="19"/>
  <c r="H94" i="19" s="1"/>
  <c r="O94" i="12"/>
  <c r="O97" i="11"/>
  <c r="D23" i="19"/>
  <c r="F88" i="19"/>
  <c r="F100" i="19" s="1"/>
  <c r="I79" i="19"/>
  <c r="D83" i="19"/>
  <c r="D95" i="19" s="1"/>
  <c r="C85" i="19"/>
  <c r="C97" i="19" s="1"/>
  <c r="J87" i="19"/>
  <c r="J99" i="19" s="1"/>
  <c r="D87" i="19"/>
  <c r="D99" i="19" s="1"/>
  <c r="E79" i="19"/>
  <c r="C82" i="19"/>
  <c r="C94" i="19" s="1"/>
  <c r="C86" i="19"/>
  <c r="C98" i="19" s="1"/>
  <c r="F84" i="19"/>
  <c r="F96" i="19" s="1"/>
  <c r="H86" i="19"/>
  <c r="H98" i="19" s="1"/>
  <c r="H88" i="19"/>
  <c r="H100" i="19" s="1"/>
  <c r="C81" i="19"/>
  <c r="L87" i="19"/>
  <c r="L99" i="19" s="1"/>
  <c r="G80" i="19"/>
  <c r="G92" i="19" s="1"/>
  <c r="G86" i="19"/>
  <c r="G98" i="19" s="1"/>
  <c r="F83" i="19"/>
  <c r="F95" i="19" s="1"/>
  <c r="G84" i="19"/>
  <c r="G96" i="19" s="1"/>
  <c r="L79" i="19"/>
  <c r="E88" i="19"/>
  <c r="E100" i="19" s="1"/>
  <c r="E86" i="19"/>
  <c r="E98" i="19" s="1"/>
  <c r="F81" i="19"/>
  <c r="F93" i="19" s="1"/>
  <c r="L86" i="19"/>
  <c r="L98" i="19" s="1"/>
  <c r="L82" i="19"/>
  <c r="L94" i="19" s="1"/>
  <c r="E84" i="19"/>
  <c r="E96" i="19" s="1"/>
  <c r="E82" i="19"/>
  <c r="E94" i="19" s="1"/>
  <c r="G88" i="19"/>
  <c r="G100" i="19" s="1"/>
  <c r="C84" i="19"/>
  <c r="C96" i="19" s="1"/>
  <c r="K80" i="19"/>
  <c r="K92" i="19" s="1"/>
  <c r="J83" i="19"/>
  <c r="J95" i="19" s="1"/>
  <c r="J81" i="19"/>
  <c r="J93" i="19" s="1"/>
  <c r="J84" i="19"/>
  <c r="J96" i="19" s="1"/>
  <c r="K86" i="19"/>
  <c r="K98" i="19" s="1"/>
  <c r="J79" i="19"/>
  <c r="F80" i="19"/>
  <c r="F92" i="19" s="1"/>
  <c r="I88" i="19"/>
  <c r="I100" i="19" s="1"/>
  <c r="E83" i="19"/>
  <c r="E95" i="19" s="1"/>
  <c r="F85" i="19"/>
  <c r="F97" i="19" s="1"/>
  <c r="E87" i="19"/>
  <c r="E99" i="19" s="1"/>
  <c r="D88" i="19"/>
  <c r="D100" i="19" s="1"/>
  <c r="J88" i="19"/>
  <c r="J100" i="19" s="1"/>
  <c r="D82" i="19"/>
  <c r="D94" i="19" s="1"/>
  <c r="I86" i="19"/>
  <c r="I98" i="19" s="1"/>
  <c r="J82" i="19"/>
  <c r="J94" i="19" s="1"/>
  <c r="H87" i="19"/>
  <c r="H99" i="19" s="1"/>
  <c r="L84" i="19"/>
  <c r="L96" i="19" s="1"/>
  <c r="D81" i="19"/>
  <c r="E85" i="19"/>
  <c r="E97" i="19" s="1"/>
  <c r="I81" i="19"/>
  <c r="I93" i="19" s="1"/>
  <c r="D84" i="19"/>
  <c r="D96" i="19" s="1"/>
  <c r="H83" i="19"/>
  <c r="H95" i="19" s="1"/>
  <c r="C88" i="19"/>
  <c r="C100" i="19" s="1"/>
  <c r="F86" i="19"/>
  <c r="F98" i="19" s="1"/>
  <c r="I80" i="19"/>
  <c r="I92" i="19" s="1"/>
  <c r="E80" i="19"/>
  <c r="G81" i="19"/>
  <c r="G93" i="19" s="1"/>
  <c r="I84" i="19"/>
  <c r="I96" i="19" s="1"/>
  <c r="D86" i="19"/>
  <c r="D98" i="19" s="1"/>
  <c r="P82" i="21"/>
  <c r="O94" i="21" s="1"/>
  <c r="P89" i="20"/>
  <c r="P85" i="20"/>
  <c r="O96" i="9"/>
  <c r="P86" i="22"/>
  <c r="P86" i="21"/>
  <c r="O96" i="22"/>
  <c r="P82" i="17"/>
  <c r="O97" i="22"/>
  <c r="O100" i="15"/>
  <c r="O99" i="20"/>
  <c r="K88" i="16"/>
  <c r="K100" i="16" s="1"/>
  <c r="I88" i="16"/>
  <c r="I100" i="16" s="1"/>
  <c r="H80" i="16"/>
  <c r="H92" i="16" s="1"/>
  <c r="L86" i="16"/>
  <c r="L98" i="16" s="1"/>
  <c r="G81" i="14"/>
  <c r="G93" i="14" s="1"/>
  <c r="O96" i="15"/>
  <c r="L87" i="14"/>
  <c r="L99" i="14" s="1"/>
  <c r="F88" i="14"/>
  <c r="F100" i="14" s="1"/>
  <c r="E88" i="14"/>
  <c r="E100" i="14" s="1"/>
  <c r="H87" i="14"/>
  <c r="H99" i="14" s="1"/>
  <c r="O100" i="12"/>
  <c r="E87" i="16"/>
  <c r="E99" i="16" s="1"/>
  <c r="D82" i="9"/>
  <c r="D94" i="9" s="1"/>
  <c r="O95" i="11"/>
  <c r="G84" i="9"/>
  <c r="G96" i="9" s="1"/>
  <c r="E84" i="9"/>
  <c r="E96" i="9" s="1"/>
  <c r="H87" i="9"/>
  <c r="H99" i="9" s="1"/>
  <c r="G79" i="8"/>
  <c r="E87" i="8"/>
  <c r="E99" i="8" s="1"/>
  <c r="H86" i="8"/>
  <c r="H98" i="8" s="1"/>
  <c r="L85" i="8"/>
  <c r="L97" i="8" s="1"/>
  <c r="H85" i="8"/>
  <c r="H97" i="8" s="1"/>
  <c r="G81" i="8"/>
  <c r="G93" i="8" s="1"/>
  <c r="D81" i="8"/>
  <c r="L87" i="8"/>
  <c r="L99" i="8" s="1"/>
  <c r="K83" i="8"/>
  <c r="K95" i="8" s="1"/>
  <c r="L86" i="6"/>
  <c r="L98" i="6" s="1"/>
  <c r="C84" i="6"/>
  <c r="C96" i="6" s="1"/>
  <c r="H83" i="6"/>
  <c r="H95" i="6" s="1"/>
  <c r="L82" i="6"/>
  <c r="L94" i="6" s="1"/>
  <c r="H79" i="6"/>
  <c r="J88" i="6"/>
  <c r="J100" i="6" s="1"/>
  <c r="G81" i="6"/>
  <c r="G93" i="6" s="1"/>
  <c r="K80" i="6"/>
  <c r="K92" i="6" s="1"/>
  <c r="F85" i="6"/>
  <c r="F97" i="6" s="1"/>
  <c r="D26" i="6"/>
  <c r="K84" i="6"/>
  <c r="K96" i="6" s="1"/>
  <c r="D88" i="8"/>
  <c r="D100" i="8" s="1"/>
  <c r="F88" i="6"/>
  <c r="F100" i="6" s="1"/>
  <c r="D84" i="6"/>
  <c r="D96" i="6" s="1"/>
  <c r="G79" i="6"/>
  <c r="D25" i="7"/>
  <c r="J85" i="7"/>
  <c r="J97" i="7" s="1"/>
  <c r="I86" i="6"/>
  <c r="I98" i="6" s="1"/>
  <c r="F79" i="7"/>
  <c r="D87" i="6"/>
  <c r="D99" i="6" s="1"/>
  <c r="D83" i="7"/>
  <c r="D95" i="7" s="1"/>
  <c r="H82" i="7"/>
  <c r="H94" i="7" s="1"/>
  <c r="E86" i="6"/>
  <c r="E98" i="6" s="1"/>
  <c r="H85" i="6"/>
  <c r="H97" i="6" s="1"/>
  <c r="P84" i="7"/>
  <c r="K88" i="6"/>
  <c r="K100" i="6" s="1"/>
  <c r="O98" i="16"/>
  <c r="D85" i="16"/>
  <c r="D97" i="16" s="1"/>
  <c r="L79" i="16"/>
  <c r="F88" i="16"/>
  <c r="F100" i="16" s="1"/>
  <c r="F83" i="16"/>
  <c r="F95" i="16" s="1"/>
  <c r="K80" i="14"/>
  <c r="K92" i="14" s="1"/>
  <c r="J87" i="14"/>
  <c r="J99" i="14" s="1"/>
  <c r="I87" i="14"/>
  <c r="I99" i="14" s="1"/>
  <c r="C88" i="14"/>
  <c r="C100" i="14" s="1"/>
  <c r="F83" i="14"/>
  <c r="F95" i="14" s="1"/>
  <c r="C87" i="14"/>
  <c r="C99" i="14" s="1"/>
  <c r="F81" i="9"/>
  <c r="F93" i="9" s="1"/>
  <c r="J83" i="9"/>
  <c r="J95" i="9" s="1"/>
  <c r="C88" i="9"/>
  <c r="C100" i="9" s="1"/>
  <c r="O98" i="9"/>
  <c r="F86" i="9"/>
  <c r="F98" i="9" s="1"/>
  <c r="I86" i="8"/>
  <c r="I98" i="8" s="1"/>
  <c r="C86" i="8"/>
  <c r="C98" i="8" s="1"/>
  <c r="E86" i="9"/>
  <c r="E98" i="9" s="1"/>
  <c r="K80" i="8"/>
  <c r="K92" i="8" s="1"/>
  <c r="O94" i="8"/>
  <c r="I80" i="8"/>
  <c r="I92" i="8" s="1"/>
  <c r="L84" i="7"/>
  <c r="L96" i="7" s="1"/>
  <c r="G88" i="6"/>
  <c r="G100" i="6" s="1"/>
  <c r="J87" i="6"/>
  <c r="J99" i="6" s="1"/>
  <c r="I83" i="6"/>
  <c r="I95" i="6" s="1"/>
  <c r="H86" i="6"/>
  <c r="H98" i="6" s="1"/>
  <c r="I82" i="7"/>
  <c r="I94" i="7" s="1"/>
  <c r="L81" i="7"/>
  <c r="L93" i="7" s="1"/>
  <c r="J85" i="6"/>
  <c r="J97" i="6" s="1"/>
  <c r="C86" i="6"/>
  <c r="C98" i="6" s="1"/>
  <c r="O96" i="5"/>
  <c r="I88" i="6"/>
  <c r="I100" i="6" s="1"/>
  <c r="P87" i="22"/>
  <c r="O97" i="21"/>
  <c r="O95" i="21"/>
  <c r="D82" i="16"/>
  <c r="D94" i="16" s="1"/>
  <c r="G81" i="16"/>
  <c r="G93" i="16" s="1"/>
  <c r="I84" i="16"/>
  <c r="I96" i="16" s="1"/>
  <c r="J87" i="16"/>
  <c r="J99" i="16" s="1"/>
  <c r="K82" i="16"/>
  <c r="K94" i="16" s="1"/>
  <c r="J85" i="14"/>
  <c r="J97" i="14" s="1"/>
  <c r="G87" i="14"/>
  <c r="G99" i="14" s="1"/>
  <c r="K82" i="14"/>
  <c r="K94" i="14" s="1"/>
  <c r="G86" i="14"/>
  <c r="G98" i="14" s="1"/>
  <c r="J80" i="9"/>
  <c r="J92" i="9" s="1"/>
  <c r="G87" i="9"/>
  <c r="G99" i="9" s="1"/>
  <c r="P89" i="9"/>
  <c r="K85" i="9"/>
  <c r="K97" i="9" s="1"/>
  <c r="D85" i="9"/>
  <c r="D97" i="9" s="1"/>
  <c r="O95" i="8"/>
  <c r="C87" i="9"/>
  <c r="C99" i="9" s="1"/>
  <c r="G86" i="9"/>
  <c r="G98" i="9" s="1"/>
  <c r="G85" i="8"/>
  <c r="G97" i="8" s="1"/>
  <c r="J81" i="9"/>
  <c r="J93" i="9" s="1"/>
  <c r="D83" i="9"/>
  <c r="D95" i="9" s="1"/>
  <c r="L87" i="6"/>
  <c r="L99" i="6" s="1"/>
  <c r="O99" i="6"/>
  <c r="G85" i="6"/>
  <c r="G97" i="6" s="1"/>
  <c r="AD7" i="23"/>
  <c r="O99" i="19"/>
  <c r="O100" i="20"/>
  <c r="O100" i="18"/>
  <c r="O97" i="18"/>
  <c r="I81" i="16"/>
  <c r="I93" i="16" s="1"/>
  <c r="C86" i="16"/>
  <c r="C98" i="16" s="1"/>
  <c r="K80" i="16"/>
  <c r="K92" i="16" s="1"/>
  <c r="D81" i="16"/>
  <c r="F80" i="16"/>
  <c r="F92" i="16" s="1"/>
  <c r="C84" i="16"/>
  <c r="C96" i="16" s="1"/>
  <c r="C87" i="16"/>
  <c r="C99" i="16" s="1"/>
  <c r="D86" i="14"/>
  <c r="D98" i="14" s="1"/>
  <c r="I88" i="14"/>
  <c r="I100" i="14" s="1"/>
  <c r="C85" i="14"/>
  <c r="C97" i="14" s="1"/>
  <c r="K88" i="15"/>
  <c r="K100" i="15" s="1"/>
  <c r="C86" i="15"/>
  <c r="C98" i="15" s="1"/>
  <c r="G85" i="15"/>
  <c r="G97" i="15" s="1"/>
  <c r="L84" i="15"/>
  <c r="L96" i="15" s="1"/>
  <c r="C82" i="15"/>
  <c r="C94" i="15" s="1"/>
  <c r="H81" i="15"/>
  <c r="H93" i="15" s="1"/>
  <c r="L80" i="15"/>
  <c r="L92" i="15" s="1"/>
  <c r="J88" i="15"/>
  <c r="J100" i="15" s="1"/>
  <c r="F85" i="15"/>
  <c r="F97" i="15" s="1"/>
  <c r="K84" i="15"/>
  <c r="K96" i="15" s="1"/>
  <c r="G81" i="15"/>
  <c r="G93" i="15" s="1"/>
  <c r="K80" i="15"/>
  <c r="K92" i="15" s="1"/>
  <c r="I88" i="15"/>
  <c r="I100" i="15" s="1"/>
  <c r="E85" i="15"/>
  <c r="E97" i="15" s="1"/>
  <c r="J84" i="15"/>
  <c r="J96" i="15" s="1"/>
  <c r="F81" i="15"/>
  <c r="F93" i="15" s="1"/>
  <c r="J80" i="15"/>
  <c r="J92" i="15" s="1"/>
  <c r="H88" i="15"/>
  <c r="H100" i="15" s="1"/>
  <c r="D85" i="15"/>
  <c r="D97" i="15" s="1"/>
  <c r="I84" i="15"/>
  <c r="I96" i="15" s="1"/>
  <c r="D81" i="15"/>
  <c r="I80" i="15"/>
  <c r="I92" i="15" s="1"/>
  <c r="F88" i="15"/>
  <c r="F100" i="15" s="1"/>
  <c r="J87" i="15"/>
  <c r="J99" i="15" s="1"/>
  <c r="F84" i="15"/>
  <c r="F96" i="15" s="1"/>
  <c r="K83" i="15"/>
  <c r="K95" i="15" s="1"/>
  <c r="G80" i="15"/>
  <c r="G92" i="15" s="1"/>
  <c r="K79" i="15"/>
  <c r="E88" i="15"/>
  <c r="E100" i="15" s="1"/>
  <c r="I87" i="15"/>
  <c r="I99" i="15" s="1"/>
  <c r="E84" i="15"/>
  <c r="E96" i="15" s="1"/>
  <c r="J83" i="15"/>
  <c r="J95" i="15" s="1"/>
  <c r="F80" i="15"/>
  <c r="F92" i="15" s="1"/>
  <c r="J79" i="15"/>
  <c r="D88" i="15"/>
  <c r="D100" i="15" s="1"/>
  <c r="H87" i="15"/>
  <c r="H99" i="15" s="1"/>
  <c r="D84" i="15"/>
  <c r="D96" i="15" s="1"/>
  <c r="I83" i="15"/>
  <c r="I95" i="15" s="1"/>
  <c r="E80" i="15"/>
  <c r="I79" i="15"/>
  <c r="C88" i="15"/>
  <c r="C100" i="15" s="1"/>
  <c r="G87" i="15"/>
  <c r="G99" i="15" s="1"/>
  <c r="L86" i="15"/>
  <c r="L98" i="15" s="1"/>
  <c r="C84" i="15"/>
  <c r="C96" i="15" s="1"/>
  <c r="H83" i="15"/>
  <c r="H95" i="15" s="1"/>
  <c r="L82" i="15"/>
  <c r="L94" i="15" s="1"/>
  <c r="C80" i="15"/>
  <c r="H79" i="15"/>
  <c r="F87" i="15"/>
  <c r="F99" i="15" s="1"/>
  <c r="K86" i="15"/>
  <c r="K98" i="15" s="1"/>
  <c r="F83" i="15"/>
  <c r="F95" i="15" s="1"/>
  <c r="K82" i="15"/>
  <c r="K94" i="15" s="1"/>
  <c r="G79" i="15"/>
  <c r="E87" i="15"/>
  <c r="E99" i="15" s="1"/>
  <c r="I86" i="15"/>
  <c r="I98" i="15" s="1"/>
  <c r="E83" i="15"/>
  <c r="E95" i="15" s="1"/>
  <c r="J82" i="15"/>
  <c r="J94" i="15" s="1"/>
  <c r="F79" i="15"/>
  <c r="F86" i="15"/>
  <c r="F98" i="15" s="1"/>
  <c r="K85" i="15"/>
  <c r="K97" i="15" s="1"/>
  <c r="G82" i="15"/>
  <c r="G94" i="15" s="1"/>
  <c r="K81" i="15"/>
  <c r="K93" i="15" s="1"/>
  <c r="C87" i="15"/>
  <c r="C99" i="15" s="1"/>
  <c r="D82" i="15"/>
  <c r="D94" i="15" s="1"/>
  <c r="L79" i="15"/>
  <c r="E79" i="15"/>
  <c r="G84" i="15"/>
  <c r="G96" i="15" s="1"/>
  <c r="D79" i="15"/>
  <c r="L81" i="15"/>
  <c r="L93" i="15" s="1"/>
  <c r="H86" i="15"/>
  <c r="H98" i="15" s="1"/>
  <c r="J81" i="15"/>
  <c r="J93" i="15" s="1"/>
  <c r="G86" i="15"/>
  <c r="G98" i="15" s="1"/>
  <c r="I81" i="15"/>
  <c r="I93" i="15" s="1"/>
  <c r="E86" i="15"/>
  <c r="E98" i="15" s="1"/>
  <c r="C81" i="15"/>
  <c r="D86" i="15"/>
  <c r="D98" i="15" s="1"/>
  <c r="L83" i="15"/>
  <c r="L95" i="15" s="1"/>
  <c r="D83" i="15"/>
  <c r="D95" i="15" s="1"/>
  <c r="G88" i="15"/>
  <c r="G100" i="15" s="1"/>
  <c r="C83" i="15"/>
  <c r="C95" i="15" s="1"/>
  <c r="L85" i="15"/>
  <c r="L97" i="15" s="1"/>
  <c r="J85" i="15"/>
  <c r="J97" i="15" s="1"/>
  <c r="H80" i="15"/>
  <c r="H92" i="15" s="1"/>
  <c r="H85" i="15"/>
  <c r="H97" i="15" s="1"/>
  <c r="L87" i="15"/>
  <c r="L99" i="15" s="1"/>
  <c r="H82" i="15"/>
  <c r="H94" i="15" s="1"/>
  <c r="D87" i="15"/>
  <c r="D99" i="15" s="1"/>
  <c r="C85" i="15"/>
  <c r="C97" i="15" s="1"/>
  <c r="I82" i="15"/>
  <c r="I94" i="15" s="1"/>
  <c r="E82" i="15"/>
  <c r="E94" i="15" s="1"/>
  <c r="L86" i="14"/>
  <c r="L98" i="14" s="1"/>
  <c r="L85" i="14"/>
  <c r="L97" i="14" s="1"/>
  <c r="E86" i="12"/>
  <c r="E98" i="12" s="1"/>
  <c r="J85" i="12"/>
  <c r="J97" i="12" s="1"/>
  <c r="E82" i="12"/>
  <c r="E94" i="12" s="1"/>
  <c r="J81" i="12"/>
  <c r="J93" i="12" s="1"/>
  <c r="D86" i="12"/>
  <c r="D98" i="12" s="1"/>
  <c r="H85" i="12"/>
  <c r="H97" i="12" s="1"/>
  <c r="D82" i="12"/>
  <c r="D94" i="12" s="1"/>
  <c r="I81" i="12"/>
  <c r="I93" i="12" s="1"/>
  <c r="K88" i="12"/>
  <c r="K100" i="12" s="1"/>
  <c r="C86" i="12"/>
  <c r="C98" i="12" s="1"/>
  <c r="G85" i="12"/>
  <c r="G97" i="12" s="1"/>
  <c r="L84" i="12"/>
  <c r="L96" i="12" s="1"/>
  <c r="C82" i="12"/>
  <c r="C94" i="12" s="1"/>
  <c r="H81" i="12"/>
  <c r="H93" i="12" s="1"/>
  <c r="L80" i="12"/>
  <c r="L92" i="12" s="1"/>
  <c r="J88" i="12"/>
  <c r="J100" i="12" s="1"/>
  <c r="F85" i="12"/>
  <c r="F97" i="12" s="1"/>
  <c r="K84" i="12"/>
  <c r="K96" i="12" s="1"/>
  <c r="G81" i="12"/>
  <c r="G93" i="12" s="1"/>
  <c r="K80" i="12"/>
  <c r="K92" i="12" s="1"/>
  <c r="I88" i="12"/>
  <c r="I100" i="12" s="1"/>
  <c r="E85" i="12"/>
  <c r="E97" i="12" s="1"/>
  <c r="J84" i="12"/>
  <c r="J96" i="12" s="1"/>
  <c r="F81" i="12"/>
  <c r="F93" i="12" s="1"/>
  <c r="J80" i="12"/>
  <c r="J92" i="12" s="1"/>
  <c r="G88" i="12"/>
  <c r="G100" i="12" s="1"/>
  <c r="L87" i="12"/>
  <c r="L99" i="12" s="1"/>
  <c r="C85" i="12"/>
  <c r="C97" i="12" s="1"/>
  <c r="G84" i="12"/>
  <c r="G96" i="12" s="1"/>
  <c r="L83" i="12"/>
  <c r="L95" i="12" s="1"/>
  <c r="C81" i="12"/>
  <c r="H80" i="12"/>
  <c r="H92" i="12" s="1"/>
  <c r="L79" i="12"/>
  <c r="F88" i="12"/>
  <c r="F100" i="12" s="1"/>
  <c r="J87" i="12"/>
  <c r="J99" i="12" s="1"/>
  <c r="F84" i="12"/>
  <c r="F96" i="12" s="1"/>
  <c r="K83" i="12"/>
  <c r="K95" i="12" s="1"/>
  <c r="G80" i="12"/>
  <c r="G92" i="12" s="1"/>
  <c r="K79" i="12"/>
  <c r="E88" i="12"/>
  <c r="E100" i="12" s="1"/>
  <c r="I87" i="12"/>
  <c r="I99" i="12" s="1"/>
  <c r="E84" i="12"/>
  <c r="E96" i="12" s="1"/>
  <c r="J83" i="12"/>
  <c r="J95" i="12" s="1"/>
  <c r="F80" i="12"/>
  <c r="F92" i="12" s="1"/>
  <c r="J79" i="12"/>
  <c r="D88" i="12"/>
  <c r="D100" i="12" s="1"/>
  <c r="H87" i="12"/>
  <c r="H99" i="12" s="1"/>
  <c r="D84" i="12"/>
  <c r="D96" i="12" s="1"/>
  <c r="I83" i="12"/>
  <c r="I95" i="12" s="1"/>
  <c r="E80" i="12"/>
  <c r="I79" i="12"/>
  <c r="C88" i="12"/>
  <c r="C100" i="12" s="1"/>
  <c r="G87" i="12"/>
  <c r="G99" i="12" s="1"/>
  <c r="L86" i="12"/>
  <c r="L98" i="12" s="1"/>
  <c r="C84" i="12"/>
  <c r="C96" i="12" s="1"/>
  <c r="H83" i="12"/>
  <c r="H95" i="12" s="1"/>
  <c r="L82" i="12"/>
  <c r="L94" i="12" s="1"/>
  <c r="C80" i="12"/>
  <c r="H79" i="12"/>
  <c r="F87" i="12"/>
  <c r="F99" i="12" s="1"/>
  <c r="K86" i="12"/>
  <c r="K98" i="12" s="1"/>
  <c r="F83" i="12"/>
  <c r="F95" i="12" s="1"/>
  <c r="K82" i="12"/>
  <c r="K94" i="12" s="1"/>
  <c r="G79" i="12"/>
  <c r="D87" i="12"/>
  <c r="D99" i="12" s="1"/>
  <c r="H86" i="12"/>
  <c r="H98" i="12" s="1"/>
  <c r="D83" i="12"/>
  <c r="D95" i="12" s="1"/>
  <c r="I82" i="12"/>
  <c r="I94" i="12" s="1"/>
  <c r="E79" i="12"/>
  <c r="K81" i="12"/>
  <c r="K93" i="12" s="1"/>
  <c r="I84" i="12"/>
  <c r="I96" i="12" s="1"/>
  <c r="D81" i="12"/>
  <c r="E87" i="12"/>
  <c r="E99" i="12" s="1"/>
  <c r="C87" i="12"/>
  <c r="C99" i="12" s="1"/>
  <c r="I80" i="12"/>
  <c r="I92" i="12" s="1"/>
  <c r="I86" i="12"/>
  <c r="I98" i="12" s="1"/>
  <c r="E83" i="12"/>
  <c r="E95" i="12" s="1"/>
  <c r="G86" i="12"/>
  <c r="G98" i="12" s="1"/>
  <c r="C83" i="12"/>
  <c r="C95" i="12" s="1"/>
  <c r="F86" i="12"/>
  <c r="F98" i="12" s="1"/>
  <c r="J82" i="12"/>
  <c r="J94" i="12" s="1"/>
  <c r="F79" i="12"/>
  <c r="L85" i="12"/>
  <c r="L97" i="12" s="1"/>
  <c r="H82" i="12"/>
  <c r="H94" i="12" s="1"/>
  <c r="D79" i="12"/>
  <c r="K85" i="12"/>
  <c r="K97" i="12" s="1"/>
  <c r="G82" i="12"/>
  <c r="G94" i="12" s="1"/>
  <c r="D85" i="12"/>
  <c r="D97" i="12" s="1"/>
  <c r="H88" i="12"/>
  <c r="H100" i="12" s="1"/>
  <c r="L81" i="12"/>
  <c r="L93" i="12" s="1"/>
  <c r="O97" i="12"/>
  <c r="K88" i="9"/>
  <c r="K100" i="9" s="1"/>
  <c r="F85" i="9"/>
  <c r="F97" i="9" s="1"/>
  <c r="F84" i="9"/>
  <c r="F96" i="9" s="1"/>
  <c r="L86" i="9"/>
  <c r="L98" i="9" s="1"/>
  <c r="I80" i="9"/>
  <c r="I92" i="9" s="1"/>
  <c r="E80" i="8"/>
  <c r="C88" i="8"/>
  <c r="C100" i="8" s="1"/>
  <c r="E82" i="9"/>
  <c r="E94" i="9" s="1"/>
  <c r="O98" i="10"/>
  <c r="C83" i="8"/>
  <c r="C95" i="8" s="1"/>
  <c r="L81" i="9"/>
  <c r="L93" i="9" s="1"/>
  <c r="L84" i="8"/>
  <c r="L96" i="8" s="1"/>
  <c r="I88" i="8"/>
  <c r="I100" i="8" s="1"/>
  <c r="O97" i="8"/>
  <c r="C85" i="8"/>
  <c r="C97" i="8" s="1"/>
  <c r="L87" i="7"/>
  <c r="L99" i="7" s="1"/>
  <c r="F80" i="6"/>
  <c r="F92" i="6" s="1"/>
  <c r="C77" i="8"/>
  <c r="K77" i="8"/>
  <c r="J77" i="8"/>
  <c r="I77" i="8"/>
  <c r="H77" i="8"/>
  <c r="G77" i="8"/>
  <c r="F77" i="8"/>
  <c r="E77" i="8"/>
  <c r="D77" i="8"/>
  <c r="L77" i="8"/>
  <c r="D82" i="7"/>
  <c r="D94" i="7" s="1"/>
  <c r="L84" i="6"/>
  <c r="L96" i="6" s="1"/>
  <c r="C82" i="7"/>
  <c r="C94" i="7" s="1"/>
  <c r="P85" i="3"/>
  <c r="O94" i="19"/>
  <c r="O100" i="17"/>
  <c r="O99" i="18"/>
  <c r="G85" i="16"/>
  <c r="G97" i="16" s="1"/>
  <c r="E85" i="16"/>
  <c r="E97" i="16" s="1"/>
  <c r="I80" i="16"/>
  <c r="I92" i="16" s="1"/>
  <c r="J79" i="16"/>
  <c r="D88" i="16"/>
  <c r="D100" i="16" s="1"/>
  <c r="H83" i="16"/>
  <c r="H95" i="16" s="1"/>
  <c r="G86" i="16"/>
  <c r="G98" i="16" s="1"/>
  <c r="H85" i="14"/>
  <c r="H97" i="14" s="1"/>
  <c r="C86" i="14"/>
  <c r="C98" i="14" s="1"/>
  <c r="P87" i="14"/>
  <c r="G84" i="14"/>
  <c r="G96" i="14" s="1"/>
  <c r="D84" i="14"/>
  <c r="D96" i="14" s="1"/>
  <c r="O99" i="13"/>
  <c r="K84" i="9"/>
  <c r="K96" i="9" s="1"/>
  <c r="K83" i="9"/>
  <c r="K95" i="9" s="1"/>
  <c r="D84" i="9"/>
  <c r="D96" i="9" s="1"/>
  <c r="I91" i="8"/>
  <c r="D87" i="9"/>
  <c r="D99" i="9" s="1"/>
  <c r="O95" i="10"/>
  <c r="D82" i="8"/>
  <c r="D94" i="8" s="1"/>
  <c r="G84" i="8"/>
  <c r="G96" i="8" s="1"/>
  <c r="G80" i="8"/>
  <c r="G92" i="8" s="1"/>
  <c r="F81" i="7"/>
  <c r="F93" i="7" s="1"/>
  <c r="H88" i="6"/>
  <c r="H100" i="6" s="1"/>
  <c r="G88" i="7"/>
  <c r="G100" i="7" s="1"/>
  <c r="J79" i="6"/>
  <c r="F84" i="7"/>
  <c r="F96" i="7" s="1"/>
  <c r="E83" i="6"/>
  <c r="E95" i="6" s="1"/>
  <c r="D91" i="7"/>
  <c r="D82" i="6"/>
  <c r="D94" i="6" s="1"/>
  <c r="I81" i="7"/>
  <c r="I93" i="7" s="1"/>
  <c r="C82" i="6"/>
  <c r="C94" i="6" s="1"/>
  <c r="E77" i="4"/>
  <c r="D77" i="4"/>
  <c r="C77" i="4"/>
  <c r="L77" i="4"/>
  <c r="K77" i="4"/>
  <c r="J77" i="4"/>
  <c r="I77" i="4"/>
  <c r="F77" i="4"/>
  <c r="H77" i="4"/>
  <c r="G77" i="4"/>
  <c r="C88" i="6"/>
  <c r="C100" i="6" s="1"/>
  <c r="H77" i="7"/>
  <c r="G77" i="7"/>
  <c r="F77" i="7"/>
  <c r="E77" i="7"/>
  <c r="D77" i="7"/>
  <c r="C77" i="7"/>
  <c r="L77" i="7"/>
  <c r="K77" i="7"/>
  <c r="J77" i="7"/>
  <c r="I77" i="7"/>
  <c r="O100" i="22"/>
  <c r="L77" i="21"/>
  <c r="K77" i="21"/>
  <c r="J77" i="21"/>
  <c r="I77" i="21"/>
  <c r="H77" i="21"/>
  <c r="G77" i="21"/>
  <c r="F77" i="21"/>
  <c r="E77" i="21"/>
  <c r="D77" i="21"/>
  <c r="C77" i="21"/>
  <c r="L84" i="16"/>
  <c r="L96" i="16" s="1"/>
  <c r="J84" i="16"/>
  <c r="J96" i="16" s="1"/>
  <c r="O99" i="16"/>
  <c r="K77" i="16"/>
  <c r="J77" i="16"/>
  <c r="I77" i="16"/>
  <c r="H77" i="16"/>
  <c r="G77" i="16"/>
  <c r="F77" i="16"/>
  <c r="E77" i="16"/>
  <c r="D77" i="16"/>
  <c r="C77" i="16"/>
  <c r="L77" i="16"/>
  <c r="H87" i="16"/>
  <c r="H99" i="16" s="1"/>
  <c r="L82" i="16"/>
  <c r="L94" i="16" s="1"/>
  <c r="L85" i="16"/>
  <c r="L97" i="16" s="1"/>
  <c r="G85" i="14"/>
  <c r="G97" i="14" s="1"/>
  <c r="O94" i="15"/>
  <c r="L83" i="14"/>
  <c r="L95" i="14" s="1"/>
  <c r="F84" i="14"/>
  <c r="F96" i="14" s="1"/>
  <c r="E84" i="14"/>
  <c r="E96" i="14" s="1"/>
  <c r="I83" i="14"/>
  <c r="I95" i="14" s="1"/>
  <c r="P87" i="12"/>
  <c r="O99" i="12" s="1"/>
  <c r="F79" i="16"/>
  <c r="O94" i="11"/>
  <c r="F80" i="9"/>
  <c r="F92" i="9" s="1"/>
  <c r="I83" i="9"/>
  <c r="I95" i="9" s="1"/>
  <c r="F87" i="9"/>
  <c r="F99" i="9" s="1"/>
  <c r="L86" i="8"/>
  <c r="L98" i="8" s="1"/>
  <c r="H82" i="9"/>
  <c r="H94" i="9" s="1"/>
  <c r="E83" i="8"/>
  <c r="E95" i="8" s="1"/>
  <c r="I82" i="8"/>
  <c r="I94" i="8" s="1"/>
  <c r="L81" i="8"/>
  <c r="L93" i="8" s="1"/>
  <c r="E86" i="8"/>
  <c r="E98" i="8" s="1"/>
  <c r="I81" i="8"/>
  <c r="I93" i="8" s="1"/>
  <c r="E83" i="9"/>
  <c r="E95" i="9" s="1"/>
  <c r="L83" i="8"/>
  <c r="L95" i="8" s="1"/>
  <c r="G81" i="7"/>
  <c r="G93" i="7" s="1"/>
  <c r="J80" i="7"/>
  <c r="J92" i="7" s="1"/>
  <c r="C85" i="6"/>
  <c r="C97" i="6" s="1"/>
  <c r="E88" i="7"/>
  <c r="E100" i="7" s="1"/>
  <c r="F84" i="6"/>
  <c r="F96" i="6" s="1"/>
  <c r="G86" i="7"/>
  <c r="G98" i="7" s="1"/>
  <c r="G77" i="6"/>
  <c r="F77" i="6"/>
  <c r="E77" i="6"/>
  <c r="D77" i="6"/>
  <c r="C77" i="6"/>
  <c r="L77" i="6"/>
  <c r="K77" i="6"/>
  <c r="J77" i="6"/>
  <c r="I77" i="6"/>
  <c r="H77" i="6"/>
  <c r="J83" i="7"/>
  <c r="J95" i="7" s="1"/>
  <c r="E80" i="6"/>
  <c r="E84" i="7"/>
  <c r="E96" i="7" s="1"/>
  <c r="J82" i="6"/>
  <c r="J94" i="6" s="1"/>
  <c r="D83" i="6"/>
  <c r="D95" i="6" s="1"/>
  <c r="E79" i="7"/>
  <c r="C87" i="6"/>
  <c r="C99" i="6" s="1"/>
  <c r="E82" i="6"/>
  <c r="E94" i="6" s="1"/>
  <c r="I81" i="6"/>
  <c r="I93" i="6" s="1"/>
  <c r="H81" i="6"/>
  <c r="H93" i="6" s="1"/>
  <c r="G88" i="4"/>
  <c r="G100" i="4" s="1"/>
  <c r="L87" i="4"/>
  <c r="L99" i="4" s="1"/>
  <c r="C85" i="4"/>
  <c r="C97" i="4" s="1"/>
  <c r="G84" i="4"/>
  <c r="G96" i="4" s="1"/>
  <c r="L83" i="4"/>
  <c r="L95" i="4" s="1"/>
  <c r="F88" i="4"/>
  <c r="F100" i="4" s="1"/>
  <c r="J87" i="4"/>
  <c r="J99" i="4" s="1"/>
  <c r="F84" i="4"/>
  <c r="F96" i="4" s="1"/>
  <c r="K83" i="4"/>
  <c r="K95" i="4" s="1"/>
  <c r="E88" i="4"/>
  <c r="E100" i="4" s="1"/>
  <c r="I87" i="4"/>
  <c r="I99" i="4" s="1"/>
  <c r="C88" i="4"/>
  <c r="C100" i="4" s="1"/>
  <c r="G87" i="4"/>
  <c r="G99" i="4" s="1"/>
  <c r="L86" i="4"/>
  <c r="L98" i="4" s="1"/>
  <c r="C84" i="4"/>
  <c r="C96" i="4" s="1"/>
  <c r="H83" i="4"/>
  <c r="H95" i="4" s="1"/>
  <c r="L82" i="4"/>
  <c r="L94" i="4" s="1"/>
  <c r="C87" i="4"/>
  <c r="C99" i="4" s="1"/>
  <c r="G86" i="4"/>
  <c r="G98" i="4" s="1"/>
  <c r="L85" i="4"/>
  <c r="L97" i="4" s="1"/>
  <c r="C83" i="4"/>
  <c r="C95" i="4" s="1"/>
  <c r="H82" i="4"/>
  <c r="H94" i="4" s="1"/>
  <c r="F86" i="4"/>
  <c r="F98" i="4" s="1"/>
  <c r="K85" i="4"/>
  <c r="K97" i="4" s="1"/>
  <c r="G82" i="4"/>
  <c r="G94" i="4" s="1"/>
  <c r="K81" i="4"/>
  <c r="K93" i="4" s="1"/>
  <c r="D86" i="4"/>
  <c r="D98" i="4" s="1"/>
  <c r="H85" i="4"/>
  <c r="H97" i="4" s="1"/>
  <c r="D82" i="4"/>
  <c r="D94" i="4" s="1"/>
  <c r="I81" i="4"/>
  <c r="I93" i="4" s="1"/>
  <c r="K88" i="4"/>
  <c r="K100" i="4" s="1"/>
  <c r="C86" i="4"/>
  <c r="C98" i="4" s="1"/>
  <c r="E86" i="4"/>
  <c r="E98" i="4" s="1"/>
  <c r="I82" i="4"/>
  <c r="I94" i="4" s="1"/>
  <c r="F81" i="4"/>
  <c r="F93" i="4" s="1"/>
  <c r="H80" i="4"/>
  <c r="H92" i="4" s="1"/>
  <c r="L79" i="4"/>
  <c r="E82" i="4"/>
  <c r="E94" i="4" s="1"/>
  <c r="D81" i="4"/>
  <c r="G80" i="4"/>
  <c r="G92" i="4" s="1"/>
  <c r="K79" i="4"/>
  <c r="J83" i="4"/>
  <c r="J95" i="4" s="1"/>
  <c r="C82" i="4"/>
  <c r="C94" i="4" s="1"/>
  <c r="C81" i="4"/>
  <c r="F80" i="4"/>
  <c r="F92" i="4" s="1"/>
  <c r="J79" i="4"/>
  <c r="H87" i="4"/>
  <c r="H99" i="4" s="1"/>
  <c r="I83" i="4"/>
  <c r="I95" i="4" s="1"/>
  <c r="E80" i="4"/>
  <c r="I79" i="4"/>
  <c r="F87" i="4"/>
  <c r="F99" i="4" s="1"/>
  <c r="L84" i="4"/>
  <c r="L96" i="4" s="1"/>
  <c r="F83" i="4"/>
  <c r="F95" i="4" s="1"/>
  <c r="C80" i="4"/>
  <c r="H79" i="4"/>
  <c r="E87" i="4"/>
  <c r="E99" i="4" s="1"/>
  <c r="K84" i="4"/>
  <c r="K96" i="4" s="1"/>
  <c r="E83" i="4"/>
  <c r="E95" i="4" s="1"/>
  <c r="G79" i="4"/>
  <c r="D87" i="4"/>
  <c r="D99" i="4" s="1"/>
  <c r="J84" i="4"/>
  <c r="J96" i="4" s="1"/>
  <c r="D83" i="4"/>
  <c r="D95" i="4" s="1"/>
  <c r="F79" i="4"/>
  <c r="I84" i="4"/>
  <c r="I96" i="4" s="1"/>
  <c r="E79" i="4"/>
  <c r="J82" i="4"/>
  <c r="J94" i="4" s="1"/>
  <c r="J88" i="4"/>
  <c r="J100" i="4" s="1"/>
  <c r="E84" i="4"/>
  <c r="E96" i="4" s="1"/>
  <c r="D79" i="4"/>
  <c r="H86" i="4"/>
  <c r="H98" i="4" s="1"/>
  <c r="I88" i="4"/>
  <c r="I100" i="4" s="1"/>
  <c r="J85" i="4"/>
  <c r="J97" i="4" s="1"/>
  <c r="D84" i="4"/>
  <c r="D96" i="4" s="1"/>
  <c r="I80" i="4"/>
  <c r="I92" i="4" s="1"/>
  <c r="H88" i="4"/>
  <c r="H100" i="4" s="1"/>
  <c r="G85" i="4"/>
  <c r="G97" i="4" s="1"/>
  <c r="D88" i="4"/>
  <c r="D100" i="4" s="1"/>
  <c r="F85" i="4"/>
  <c r="F97" i="4" s="1"/>
  <c r="G81" i="4"/>
  <c r="G93" i="4" s="1"/>
  <c r="E85" i="4"/>
  <c r="E97" i="4" s="1"/>
  <c r="L81" i="4"/>
  <c r="L93" i="4" s="1"/>
  <c r="L80" i="4"/>
  <c r="L92" i="4" s="1"/>
  <c r="K86" i="4"/>
  <c r="K98" i="4" s="1"/>
  <c r="D85" i="4"/>
  <c r="D97" i="4" s="1"/>
  <c r="J81" i="4"/>
  <c r="J93" i="4" s="1"/>
  <c r="K80" i="4"/>
  <c r="K92" i="4" s="1"/>
  <c r="I86" i="4"/>
  <c r="I98" i="4" s="1"/>
  <c r="K82" i="4"/>
  <c r="K94" i="4" s="1"/>
  <c r="H81" i="4"/>
  <c r="H93" i="4" s="1"/>
  <c r="J80" i="4"/>
  <c r="J92" i="4" s="1"/>
  <c r="O97" i="5"/>
  <c r="O97" i="4"/>
  <c r="J85" i="16"/>
  <c r="J97" i="16" s="1"/>
  <c r="P83" i="16"/>
  <c r="G88" i="16"/>
  <c r="G100" i="16" s="1"/>
  <c r="F84" i="16"/>
  <c r="F96" i="16" s="1"/>
  <c r="G79" i="16"/>
  <c r="E82" i="14"/>
  <c r="E94" i="14" s="1"/>
  <c r="L84" i="14"/>
  <c r="L96" i="14" s="1"/>
  <c r="O95" i="15"/>
  <c r="K83" i="14"/>
  <c r="K95" i="14" s="1"/>
  <c r="J83" i="14"/>
  <c r="J95" i="14" s="1"/>
  <c r="C84" i="14"/>
  <c r="C96" i="14" s="1"/>
  <c r="G79" i="14"/>
  <c r="C83" i="14"/>
  <c r="C95" i="14" s="1"/>
  <c r="K85" i="16"/>
  <c r="K97" i="16" s="1"/>
  <c r="C86" i="9"/>
  <c r="C98" i="9" s="1"/>
  <c r="J79" i="9"/>
  <c r="C84" i="9"/>
  <c r="C96" i="9" s="1"/>
  <c r="K86" i="9"/>
  <c r="K98" i="9" s="1"/>
  <c r="G82" i="9"/>
  <c r="G94" i="9" s="1"/>
  <c r="F87" i="8"/>
  <c r="F99" i="8" s="1"/>
  <c r="J82" i="8"/>
  <c r="J94" i="8" s="1"/>
  <c r="J85" i="8"/>
  <c r="J97" i="8" s="1"/>
  <c r="H86" i="9"/>
  <c r="H98" i="9" s="1"/>
  <c r="C82" i="8"/>
  <c r="C94" i="8" s="1"/>
  <c r="D81" i="9"/>
  <c r="O98" i="8"/>
  <c r="E85" i="6"/>
  <c r="E97" i="6" s="1"/>
  <c r="G84" i="6"/>
  <c r="G96" i="6" s="1"/>
  <c r="K83" i="6"/>
  <c r="K95" i="6" s="1"/>
  <c r="I79" i="6"/>
  <c r="I82" i="6"/>
  <c r="I94" i="6" s="1"/>
  <c r="G86" i="6"/>
  <c r="G98" i="6" s="1"/>
  <c r="J81" i="6"/>
  <c r="J93" i="6" s="1"/>
  <c r="L80" i="6"/>
  <c r="L92" i="6" s="1"/>
  <c r="O100" i="3"/>
  <c r="I87" i="7"/>
  <c r="I99" i="7" s="1"/>
  <c r="O99" i="4"/>
  <c r="O100" i="21"/>
  <c r="P84" i="19"/>
  <c r="O96" i="19" s="1"/>
  <c r="O97" i="17"/>
  <c r="L87" i="16"/>
  <c r="L99" i="16" s="1"/>
  <c r="K83" i="16"/>
  <c r="K95" i="16" s="1"/>
  <c r="J81" i="14"/>
  <c r="J93" i="14" s="1"/>
  <c r="J88" i="14"/>
  <c r="J100" i="14" s="1"/>
  <c r="E85" i="14"/>
  <c r="E97" i="14" s="1"/>
  <c r="H83" i="14"/>
  <c r="H95" i="14" s="1"/>
  <c r="H82" i="14"/>
  <c r="H94" i="14" s="1"/>
  <c r="O95" i="13"/>
  <c r="K81" i="16"/>
  <c r="K93" i="16" s="1"/>
  <c r="G85" i="9"/>
  <c r="G97" i="9" s="1"/>
  <c r="H83" i="9"/>
  <c r="H95" i="9" s="1"/>
  <c r="P85" i="9"/>
  <c r="O97" i="9" s="1"/>
  <c r="K81" i="9"/>
  <c r="K93" i="9" s="1"/>
  <c r="G82" i="8"/>
  <c r="G94" i="8" s="1"/>
  <c r="E88" i="8"/>
  <c r="E100" i="8" s="1"/>
  <c r="K81" i="8"/>
  <c r="K93" i="8" s="1"/>
  <c r="I87" i="8"/>
  <c r="I99" i="8" s="1"/>
  <c r="F80" i="8"/>
  <c r="F92" i="8" s="1"/>
  <c r="F86" i="8"/>
  <c r="F98" i="8" s="1"/>
  <c r="J79" i="8"/>
  <c r="K85" i="8"/>
  <c r="K97" i="8" s="1"/>
  <c r="E84" i="8"/>
  <c r="E96" i="8" s="1"/>
  <c r="D23" i="8"/>
  <c r="J83" i="8"/>
  <c r="J95" i="8" s="1"/>
  <c r="K86" i="8"/>
  <c r="K98" i="8" s="1"/>
  <c r="I84" i="9"/>
  <c r="I96" i="9" s="1"/>
  <c r="H81" i="8"/>
  <c r="H93" i="8" s="1"/>
  <c r="J88" i="8"/>
  <c r="J100" i="8" s="1"/>
  <c r="E85" i="8"/>
  <c r="E97" i="8" s="1"/>
  <c r="H88" i="8"/>
  <c r="H100" i="8" s="1"/>
  <c r="J84" i="6"/>
  <c r="J96" i="6" s="1"/>
  <c r="F88" i="7"/>
  <c r="F100" i="7" s="1"/>
  <c r="L83" i="6"/>
  <c r="L95" i="6" s="1"/>
  <c r="K86" i="7"/>
  <c r="K98" i="7" s="1"/>
  <c r="I79" i="7"/>
  <c r="F83" i="7"/>
  <c r="F95" i="7" s="1"/>
  <c r="L85" i="6"/>
  <c r="L97" i="6" s="1"/>
  <c r="I86" i="7"/>
  <c r="I98" i="7" s="1"/>
  <c r="F88" i="3"/>
  <c r="F100" i="3" s="1"/>
  <c r="J87" i="3"/>
  <c r="J99" i="3" s="1"/>
  <c r="F84" i="3"/>
  <c r="F96" i="3" s="1"/>
  <c r="K83" i="3"/>
  <c r="K95" i="3" s="1"/>
  <c r="G80" i="3"/>
  <c r="G92" i="3" s="1"/>
  <c r="K79" i="3"/>
  <c r="E88" i="3"/>
  <c r="E100" i="3" s="1"/>
  <c r="I87" i="3"/>
  <c r="I99" i="3" s="1"/>
  <c r="E84" i="3"/>
  <c r="E96" i="3" s="1"/>
  <c r="J83" i="3"/>
  <c r="J95" i="3" s="1"/>
  <c r="F80" i="3"/>
  <c r="F92" i="3" s="1"/>
  <c r="J79" i="3"/>
  <c r="D88" i="3"/>
  <c r="D100" i="3" s="1"/>
  <c r="H87" i="3"/>
  <c r="H99" i="3" s="1"/>
  <c r="D84" i="3"/>
  <c r="D96" i="3" s="1"/>
  <c r="I83" i="3"/>
  <c r="I95" i="3" s="1"/>
  <c r="E80" i="3"/>
  <c r="I79" i="3"/>
  <c r="C88" i="3"/>
  <c r="C100" i="3" s="1"/>
  <c r="G87" i="3"/>
  <c r="G99" i="3" s="1"/>
  <c r="L86" i="3"/>
  <c r="L98" i="3" s="1"/>
  <c r="C84" i="3"/>
  <c r="C96" i="3" s="1"/>
  <c r="H83" i="3"/>
  <c r="H95" i="3" s="1"/>
  <c r="L82" i="3"/>
  <c r="L94" i="3" s="1"/>
  <c r="C80" i="3"/>
  <c r="H79" i="3"/>
  <c r="L83" i="3"/>
  <c r="L95" i="3" s="1"/>
  <c r="F87" i="3"/>
  <c r="F99" i="3" s="1"/>
  <c r="K86" i="3"/>
  <c r="K98" i="3" s="1"/>
  <c r="F83" i="3"/>
  <c r="F95" i="3" s="1"/>
  <c r="K82" i="3"/>
  <c r="K94" i="3" s="1"/>
  <c r="G79" i="3"/>
  <c r="G88" i="3"/>
  <c r="G100" i="3" s="1"/>
  <c r="C85" i="3"/>
  <c r="C97" i="3" s="1"/>
  <c r="E87" i="3"/>
  <c r="E99" i="3" s="1"/>
  <c r="I86" i="3"/>
  <c r="I98" i="3" s="1"/>
  <c r="E83" i="3"/>
  <c r="E95" i="3" s="1"/>
  <c r="J82" i="3"/>
  <c r="J94" i="3" s="1"/>
  <c r="F79" i="3"/>
  <c r="D87" i="3"/>
  <c r="D99" i="3" s="1"/>
  <c r="H86" i="3"/>
  <c r="H98" i="3" s="1"/>
  <c r="D83" i="3"/>
  <c r="D95" i="3" s="1"/>
  <c r="I82" i="3"/>
  <c r="I94" i="3" s="1"/>
  <c r="E79" i="3"/>
  <c r="C87" i="3"/>
  <c r="C99" i="3" s="1"/>
  <c r="G86" i="3"/>
  <c r="G98" i="3" s="1"/>
  <c r="L85" i="3"/>
  <c r="L97" i="3" s="1"/>
  <c r="C83" i="3"/>
  <c r="C95" i="3" s="1"/>
  <c r="H82" i="3"/>
  <c r="H94" i="3" s="1"/>
  <c r="L81" i="3"/>
  <c r="L93" i="3" s="1"/>
  <c r="D79" i="3"/>
  <c r="C81" i="3"/>
  <c r="F86" i="3"/>
  <c r="F98" i="3" s="1"/>
  <c r="K85" i="3"/>
  <c r="K97" i="3" s="1"/>
  <c r="G82" i="3"/>
  <c r="G94" i="3" s="1"/>
  <c r="K81" i="3"/>
  <c r="K93" i="3" s="1"/>
  <c r="E86" i="3"/>
  <c r="E98" i="3" s="1"/>
  <c r="J85" i="3"/>
  <c r="J97" i="3" s="1"/>
  <c r="E82" i="3"/>
  <c r="E94" i="3" s="1"/>
  <c r="J81" i="3"/>
  <c r="J93" i="3" s="1"/>
  <c r="D86" i="3"/>
  <c r="D98" i="3" s="1"/>
  <c r="H85" i="3"/>
  <c r="H97" i="3" s="1"/>
  <c r="D82" i="3"/>
  <c r="D94" i="3" s="1"/>
  <c r="I81" i="3"/>
  <c r="I93" i="3" s="1"/>
  <c r="K88" i="3"/>
  <c r="K100" i="3" s="1"/>
  <c r="C86" i="3"/>
  <c r="C98" i="3" s="1"/>
  <c r="G85" i="3"/>
  <c r="G97" i="3" s="1"/>
  <c r="L84" i="3"/>
  <c r="L96" i="3" s="1"/>
  <c r="C82" i="3"/>
  <c r="C94" i="3" s="1"/>
  <c r="H81" i="3"/>
  <c r="H93" i="3" s="1"/>
  <c r="L80" i="3"/>
  <c r="L92" i="3" s="1"/>
  <c r="L87" i="3"/>
  <c r="L99" i="3" s="1"/>
  <c r="L79" i="3"/>
  <c r="J88" i="3"/>
  <c r="J100" i="3" s="1"/>
  <c r="F85" i="3"/>
  <c r="F97" i="3" s="1"/>
  <c r="K84" i="3"/>
  <c r="K96" i="3" s="1"/>
  <c r="G81" i="3"/>
  <c r="G93" i="3" s="1"/>
  <c r="K80" i="3"/>
  <c r="K92" i="3" s="1"/>
  <c r="I88" i="3"/>
  <c r="I100" i="3" s="1"/>
  <c r="E85" i="3"/>
  <c r="E97" i="3" s="1"/>
  <c r="J84" i="3"/>
  <c r="J96" i="3" s="1"/>
  <c r="F81" i="3"/>
  <c r="F93" i="3" s="1"/>
  <c r="J80" i="3"/>
  <c r="J92" i="3" s="1"/>
  <c r="H88" i="3"/>
  <c r="H100" i="3" s="1"/>
  <c r="D85" i="3"/>
  <c r="D97" i="3" s="1"/>
  <c r="I84" i="3"/>
  <c r="I96" i="3" s="1"/>
  <c r="D81" i="3"/>
  <c r="I80" i="3"/>
  <c r="I92" i="3" s="1"/>
  <c r="G84" i="3"/>
  <c r="G96" i="3" s="1"/>
  <c r="H80" i="3"/>
  <c r="H92" i="3" s="1"/>
  <c r="O94" i="4"/>
  <c r="O97" i="20"/>
  <c r="O98" i="19"/>
  <c r="O97" i="19"/>
  <c r="L81" i="19"/>
  <c r="L93" i="19" s="1"/>
  <c r="G85" i="19"/>
  <c r="G97" i="19" s="1"/>
  <c r="D91" i="19"/>
  <c r="J85" i="19"/>
  <c r="J97" i="19" s="1"/>
  <c r="P87" i="17"/>
  <c r="C82" i="16"/>
  <c r="C94" i="16" s="1"/>
  <c r="O100" i="16"/>
  <c r="C92" i="16"/>
  <c r="C83" i="16"/>
  <c r="C95" i="16" s="1"/>
  <c r="D82" i="14"/>
  <c r="D94" i="14" s="1"/>
  <c r="J84" i="14"/>
  <c r="J96" i="14" s="1"/>
  <c r="O97" i="15"/>
  <c r="O96" i="14"/>
  <c r="C81" i="14"/>
  <c r="L82" i="14"/>
  <c r="L94" i="14" s="1"/>
  <c r="O98" i="14"/>
  <c r="L81" i="14"/>
  <c r="L93" i="14" s="1"/>
  <c r="P83" i="12"/>
  <c r="O95" i="12" s="1"/>
  <c r="O94" i="13"/>
  <c r="F86" i="16"/>
  <c r="F98" i="16" s="1"/>
  <c r="O100" i="9"/>
  <c r="L84" i="9"/>
  <c r="L96" i="9" s="1"/>
  <c r="G81" i="9"/>
  <c r="G93" i="9" s="1"/>
  <c r="I88" i="9"/>
  <c r="I100" i="9" s="1"/>
  <c r="G80" i="9"/>
  <c r="G92" i="9" s="1"/>
  <c r="L82" i="9"/>
  <c r="L94" i="9" s="1"/>
  <c r="C84" i="8"/>
  <c r="C96" i="8" s="1"/>
  <c r="D91" i="8"/>
  <c r="L80" i="8"/>
  <c r="L92" i="8" s="1"/>
  <c r="L79" i="9"/>
  <c r="J84" i="8"/>
  <c r="J96" i="8" s="1"/>
  <c r="C81" i="8"/>
  <c r="D86" i="9"/>
  <c r="D98" i="9" s="1"/>
  <c r="D85" i="6"/>
  <c r="D97" i="6" s="1"/>
  <c r="D87" i="7"/>
  <c r="D99" i="7" s="1"/>
  <c r="E85" i="7"/>
  <c r="E97" i="7" s="1"/>
  <c r="F87" i="7"/>
  <c r="F99" i="7" s="1"/>
  <c r="K82" i="7"/>
  <c r="K94" i="7" s="1"/>
  <c r="F86" i="6"/>
  <c r="F98" i="6" s="1"/>
  <c r="L85" i="7"/>
  <c r="L97" i="7" s="1"/>
  <c r="O98" i="5"/>
  <c r="P83" i="22"/>
  <c r="O95" i="22" s="1"/>
  <c r="G88" i="20"/>
  <c r="G100" i="20" s="1"/>
  <c r="L87" i="20"/>
  <c r="L99" i="20" s="1"/>
  <c r="C85" i="20"/>
  <c r="C97" i="20" s="1"/>
  <c r="G84" i="20"/>
  <c r="G96" i="20" s="1"/>
  <c r="L83" i="20"/>
  <c r="L95" i="20" s="1"/>
  <c r="C81" i="20"/>
  <c r="H80" i="20"/>
  <c r="H92" i="20" s="1"/>
  <c r="L79" i="20"/>
  <c r="F88" i="20"/>
  <c r="F100" i="20" s="1"/>
  <c r="J87" i="20"/>
  <c r="J99" i="20" s="1"/>
  <c r="F84" i="20"/>
  <c r="F96" i="20" s="1"/>
  <c r="K83" i="20"/>
  <c r="K95" i="20" s="1"/>
  <c r="G80" i="20"/>
  <c r="G92" i="20" s="1"/>
  <c r="K79" i="20"/>
  <c r="E88" i="20"/>
  <c r="E100" i="20" s="1"/>
  <c r="I87" i="20"/>
  <c r="I99" i="20" s="1"/>
  <c r="E84" i="20"/>
  <c r="E96" i="20" s="1"/>
  <c r="J83" i="20"/>
  <c r="J95" i="20" s="1"/>
  <c r="F80" i="20"/>
  <c r="F92" i="20" s="1"/>
  <c r="J79" i="20"/>
  <c r="D88" i="20"/>
  <c r="D100" i="20" s="1"/>
  <c r="H87" i="20"/>
  <c r="H99" i="20" s="1"/>
  <c r="D84" i="20"/>
  <c r="D96" i="20" s="1"/>
  <c r="I83" i="20"/>
  <c r="I95" i="20" s="1"/>
  <c r="E80" i="20"/>
  <c r="I79" i="20"/>
  <c r="C88" i="20"/>
  <c r="C100" i="20" s="1"/>
  <c r="G87" i="20"/>
  <c r="G99" i="20" s="1"/>
  <c r="L86" i="20"/>
  <c r="L98" i="20" s="1"/>
  <c r="C84" i="20"/>
  <c r="C96" i="20" s="1"/>
  <c r="H83" i="20"/>
  <c r="H95" i="20" s="1"/>
  <c r="L82" i="20"/>
  <c r="L94" i="20" s="1"/>
  <c r="C80" i="20"/>
  <c r="H79" i="20"/>
  <c r="F87" i="20"/>
  <c r="F99" i="20" s="1"/>
  <c r="K86" i="20"/>
  <c r="K98" i="20" s="1"/>
  <c r="F83" i="20"/>
  <c r="F95" i="20" s="1"/>
  <c r="K82" i="20"/>
  <c r="K94" i="20" s="1"/>
  <c r="G79" i="20"/>
  <c r="E87" i="20"/>
  <c r="E99" i="20" s="1"/>
  <c r="I86" i="20"/>
  <c r="I98" i="20" s="1"/>
  <c r="E83" i="20"/>
  <c r="E95" i="20" s="1"/>
  <c r="J82" i="20"/>
  <c r="J94" i="20" s="1"/>
  <c r="F79" i="20"/>
  <c r="D87" i="20"/>
  <c r="D99" i="20" s="1"/>
  <c r="H86" i="20"/>
  <c r="H98" i="20" s="1"/>
  <c r="D83" i="20"/>
  <c r="D95" i="20" s="1"/>
  <c r="I82" i="20"/>
  <c r="I94" i="20" s="1"/>
  <c r="E79" i="20"/>
  <c r="C87" i="20"/>
  <c r="C99" i="20" s="1"/>
  <c r="G86" i="20"/>
  <c r="G98" i="20" s="1"/>
  <c r="L85" i="20"/>
  <c r="L97" i="20" s="1"/>
  <c r="C83" i="20"/>
  <c r="C95" i="20" s="1"/>
  <c r="H82" i="20"/>
  <c r="H94" i="20" s="1"/>
  <c r="L81" i="20"/>
  <c r="L93" i="20" s="1"/>
  <c r="D79" i="20"/>
  <c r="F86" i="20"/>
  <c r="F98" i="20" s="1"/>
  <c r="K85" i="20"/>
  <c r="K97" i="20" s="1"/>
  <c r="G82" i="20"/>
  <c r="G94" i="20" s="1"/>
  <c r="K81" i="20"/>
  <c r="K93" i="20" s="1"/>
  <c r="E86" i="20"/>
  <c r="E98" i="20" s="1"/>
  <c r="J85" i="20"/>
  <c r="J97" i="20" s="1"/>
  <c r="E82" i="20"/>
  <c r="E94" i="20" s="1"/>
  <c r="J81" i="20"/>
  <c r="J93" i="20" s="1"/>
  <c r="D86" i="20"/>
  <c r="D98" i="20" s="1"/>
  <c r="H85" i="20"/>
  <c r="H97" i="20" s="1"/>
  <c r="D82" i="20"/>
  <c r="D94" i="20" s="1"/>
  <c r="I81" i="20"/>
  <c r="I93" i="20" s="1"/>
  <c r="K88" i="20"/>
  <c r="K100" i="20" s="1"/>
  <c r="C86" i="20"/>
  <c r="C98" i="20" s="1"/>
  <c r="G85" i="20"/>
  <c r="G97" i="20" s="1"/>
  <c r="L84" i="20"/>
  <c r="L96" i="20" s="1"/>
  <c r="C82" i="20"/>
  <c r="C94" i="20" s="1"/>
  <c r="H81" i="20"/>
  <c r="H93" i="20" s="1"/>
  <c r="L80" i="20"/>
  <c r="L92" i="20" s="1"/>
  <c r="J88" i="20"/>
  <c r="J100" i="20" s="1"/>
  <c r="F85" i="20"/>
  <c r="F97" i="20" s="1"/>
  <c r="K84" i="20"/>
  <c r="K96" i="20" s="1"/>
  <c r="G81" i="20"/>
  <c r="G93" i="20" s="1"/>
  <c r="K80" i="20"/>
  <c r="K92" i="20" s="1"/>
  <c r="D85" i="20"/>
  <c r="D97" i="20" s="1"/>
  <c r="J84" i="20"/>
  <c r="J96" i="20" s="1"/>
  <c r="I84" i="20"/>
  <c r="I96" i="20" s="1"/>
  <c r="I88" i="20"/>
  <c r="I100" i="20" s="1"/>
  <c r="H88" i="20"/>
  <c r="H100" i="20" s="1"/>
  <c r="F81" i="20"/>
  <c r="F93" i="20" s="1"/>
  <c r="D81" i="20"/>
  <c r="J80" i="20"/>
  <c r="J92" i="20" s="1"/>
  <c r="I80" i="20"/>
  <c r="I92" i="20" s="1"/>
  <c r="E85" i="20"/>
  <c r="E97" i="20" s="1"/>
  <c r="O95" i="20"/>
  <c r="O94" i="18"/>
  <c r="H81" i="16"/>
  <c r="H93" i="16" s="1"/>
  <c r="J88" i="16"/>
  <c r="J100" i="16" s="1"/>
  <c r="F81" i="16"/>
  <c r="F93" i="16" s="1"/>
  <c r="E88" i="16"/>
  <c r="E100" i="16" s="1"/>
  <c r="D84" i="16"/>
  <c r="D96" i="16" s="1"/>
  <c r="H79" i="16"/>
  <c r="P89" i="16"/>
  <c r="H82" i="16"/>
  <c r="H94" i="16" s="1"/>
  <c r="I81" i="14"/>
  <c r="I93" i="14" s="1"/>
  <c r="C82" i="14"/>
  <c r="C94" i="14" s="1"/>
  <c r="P83" i="14"/>
  <c r="H80" i="14"/>
  <c r="H92" i="14" s="1"/>
  <c r="C77" i="18"/>
  <c r="L77" i="18"/>
  <c r="K77" i="18"/>
  <c r="J77" i="18"/>
  <c r="I77" i="18"/>
  <c r="H77" i="18"/>
  <c r="G77" i="18"/>
  <c r="D77" i="18"/>
  <c r="F77" i="18"/>
  <c r="E77" i="18"/>
  <c r="E80" i="14"/>
  <c r="P89" i="14"/>
  <c r="O96" i="13"/>
  <c r="H86" i="16"/>
  <c r="H98" i="16" s="1"/>
  <c r="D86" i="13"/>
  <c r="D98" i="13" s="1"/>
  <c r="H85" i="13"/>
  <c r="H97" i="13" s="1"/>
  <c r="D82" i="13"/>
  <c r="D94" i="13" s="1"/>
  <c r="I81" i="13"/>
  <c r="I93" i="13" s="1"/>
  <c r="K88" i="13"/>
  <c r="K100" i="13" s="1"/>
  <c r="C86" i="13"/>
  <c r="C98" i="13" s="1"/>
  <c r="G85" i="13"/>
  <c r="G97" i="13" s="1"/>
  <c r="L84" i="13"/>
  <c r="L96" i="13" s="1"/>
  <c r="C82" i="13"/>
  <c r="C94" i="13" s="1"/>
  <c r="H81" i="13"/>
  <c r="H93" i="13" s="1"/>
  <c r="L80" i="13"/>
  <c r="L92" i="13" s="1"/>
  <c r="J88" i="13"/>
  <c r="J100" i="13" s="1"/>
  <c r="F85" i="13"/>
  <c r="F97" i="13" s="1"/>
  <c r="K84" i="13"/>
  <c r="K96" i="13" s="1"/>
  <c r="G81" i="13"/>
  <c r="G93" i="13" s="1"/>
  <c r="K80" i="13"/>
  <c r="K92" i="13" s="1"/>
  <c r="I88" i="13"/>
  <c r="I100" i="13" s="1"/>
  <c r="E85" i="13"/>
  <c r="E97" i="13" s="1"/>
  <c r="J84" i="13"/>
  <c r="J96" i="13" s="1"/>
  <c r="H88" i="13"/>
  <c r="H100" i="13" s="1"/>
  <c r="D85" i="13"/>
  <c r="D97" i="13" s="1"/>
  <c r="I84" i="13"/>
  <c r="I96" i="13" s="1"/>
  <c r="D81" i="13"/>
  <c r="I80" i="13"/>
  <c r="I92" i="13" s="1"/>
  <c r="E88" i="13"/>
  <c r="E100" i="13" s="1"/>
  <c r="D88" i="13"/>
  <c r="D100" i="13" s="1"/>
  <c r="H87" i="13"/>
  <c r="H99" i="13" s="1"/>
  <c r="D84" i="13"/>
  <c r="D96" i="13" s="1"/>
  <c r="I83" i="13"/>
  <c r="I95" i="13" s="1"/>
  <c r="E80" i="13"/>
  <c r="I79" i="13"/>
  <c r="C88" i="13"/>
  <c r="C100" i="13" s="1"/>
  <c r="G87" i="13"/>
  <c r="G99" i="13" s="1"/>
  <c r="L86" i="13"/>
  <c r="L98" i="13" s="1"/>
  <c r="F87" i="13"/>
  <c r="F99" i="13" s="1"/>
  <c r="K86" i="13"/>
  <c r="K98" i="13" s="1"/>
  <c r="F83" i="13"/>
  <c r="F95" i="13" s="1"/>
  <c r="K82" i="13"/>
  <c r="K94" i="13" s="1"/>
  <c r="G79" i="13"/>
  <c r="E87" i="13"/>
  <c r="E99" i="13" s="1"/>
  <c r="I86" i="13"/>
  <c r="I98" i="13" s="1"/>
  <c r="E83" i="13"/>
  <c r="E95" i="13" s="1"/>
  <c r="J82" i="13"/>
  <c r="J94" i="13" s="1"/>
  <c r="F79" i="13"/>
  <c r="F86" i="13"/>
  <c r="F98" i="13" s="1"/>
  <c r="C83" i="13"/>
  <c r="C95" i="13" s="1"/>
  <c r="G80" i="13"/>
  <c r="G92" i="13" s="1"/>
  <c r="E86" i="13"/>
  <c r="E98" i="13" s="1"/>
  <c r="F80" i="13"/>
  <c r="F92" i="13" s="1"/>
  <c r="G84" i="13"/>
  <c r="G96" i="13" s="1"/>
  <c r="L81" i="13"/>
  <c r="L93" i="13" s="1"/>
  <c r="C80" i="13"/>
  <c r="F84" i="13"/>
  <c r="F96" i="13" s="1"/>
  <c r="K81" i="13"/>
  <c r="K93" i="13" s="1"/>
  <c r="L87" i="13"/>
  <c r="L99" i="13" s="1"/>
  <c r="E84" i="13"/>
  <c r="E96" i="13" s="1"/>
  <c r="J81" i="13"/>
  <c r="J93" i="13" s="1"/>
  <c r="J87" i="13"/>
  <c r="J99" i="13" s="1"/>
  <c r="C84" i="13"/>
  <c r="C96" i="13" s="1"/>
  <c r="F81" i="13"/>
  <c r="F93" i="13" s="1"/>
  <c r="I87" i="13"/>
  <c r="I99" i="13" s="1"/>
  <c r="C81" i="13"/>
  <c r="D87" i="13"/>
  <c r="D99" i="13" s="1"/>
  <c r="L85" i="13"/>
  <c r="L97" i="13" s="1"/>
  <c r="L82" i="13"/>
  <c r="L94" i="13" s="1"/>
  <c r="C87" i="13"/>
  <c r="C99" i="13" s="1"/>
  <c r="K85" i="13"/>
  <c r="K97" i="13" s="1"/>
  <c r="I82" i="13"/>
  <c r="I94" i="13" s="1"/>
  <c r="L79" i="13"/>
  <c r="J85" i="13"/>
  <c r="J97" i="13" s="1"/>
  <c r="H82" i="13"/>
  <c r="H94" i="13" s="1"/>
  <c r="K79" i="13"/>
  <c r="C85" i="13"/>
  <c r="C97" i="13" s="1"/>
  <c r="G82" i="13"/>
  <c r="G94" i="13" s="1"/>
  <c r="J79" i="13"/>
  <c r="L83" i="13"/>
  <c r="L95" i="13" s="1"/>
  <c r="E82" i="13"/>
  <c r="E94" i="13" s="1"/>
  <c r="H79" i="13"/>
  <c r="K83" i="13"/>
  <c r="K95" i="13" s="1"/>
  <c r="E79" i="13"/>
  <c r="J83" i="13"/>
  <c r="J95" i="13" s="1"/>
  <c r="D79" i="13"/>
  <c r="G88" i="13"/>
  <c r="G100" i="13" s="1"/>
  <c r="F88" i="13"/>
  <c r="F100" i="13" s="1"/>
  <c r="H86" i="13"/>
  <c r="H98" i="13" s="1"/>
  <c r="G86" i="13"/>
  <c r="G98" i="13" s="1"/>
  <c r="H83" i="13"/>
  <c r="H95" i="13" s="1"/>
  <c r="D83" i="13"/>
  <c r="D95" i="13" s="1"/>
  <c r="H80" i="13"/>
  <c r="H92" i="13" s="1"/>
  <c r="J80" i="13"/>
  <c r="J92" i="13" s="1"/>
  <c r="K80" i="9"/>
  <c r="K92" i="9" s="1"/>
  <c r="P87" i="9"/>
  <c r="K79" i="9"/>
  <c r="E80" i="9"/>
  <c r="P89" i="11"/>
  <c r="H83" i="8"/>
  <c r="H95" i="8" s="1"/>
  <c r="E79" i="8"/>
  <c r="O99" i="10"/>
  <c r="O100" i="10"/>
  <c r="H80" i="9"/>
  <c r="H92" i="9" s="1"/>
  <c r="C83" i="9"/>
  <c r="C95" i="9" s="1"/>
  <c r="H80" i="8"/>
  <c r="H92" i="8" s="1"/>
  <c r="I84" i="6"/>
  <c r="I96" i="6" s="1"/>
  <c r="C86" i="7"/>
  <c r="C98" i="7" s="1"/>
  <c r="I84" i="7"/>
  <c r="I96" i="7" s="1"/>
  <c r="D85" i="7"/>
  <c r="D97" i="7" s="1"/>
  <c r="C84" i="7"/>
  <c r="C96" i="7" s="1"/>
  <c r="E88" i="6"/>
  <c r="E100" i="6" s="1"/>
  <c r="F80" i="7"/>
  <c r="F92" i="7" s="1"/>
  <c r="G87" i="6"/>
  <c r="G99" i="6" s="1"/>
  <c r="F79" i="6"/>
  <c r="K85" i="6"/>
  <c r="K97" i="6" s="1"/>
  <c r="H88" i="9"/>
  <c r="H100" i="9" s="1"/>
  <c r="O98" i="22"/>
  <c r="D22" i="19"/>
  <c r="L83" i="19"/>
  <c r="L95" i="19" s="1"/>
  <c r="K82" i="19"/>
  <c r="K94" i="19" s="1"/>
  <c r="I82" i="19"/>
  <c r="I94" i="19" s="1"/>
  <c r="K81" i="19"/>
  <c r="K93" i="19" s="1"/>
  <c r="H81" i="19"/>
  <c r="H93" i="19" s="1"/>
  <c r="J80" i="19"/>
  <c r="J92" i="19" s="1"/>
  <c r="H80" i="19"/>
  <c r="H92" i="19" s="1"/>
  <c r="H79" i="19"/>
  <c r="K88" i="19"/>
  <c r="K100" i="19" s="1"/>
  <c r="F79" i="19"/>
  <c r="M113" i="23" s="1" a="1"/>
  <c r="F87" i="19"/>
  <c r="F99" i="19" s="1"/>
  <c r="E77" i="20"/>
  <c r="D77" i="20"/>
  <c r="C77" i="20"/>
  <c r="L77" i="20"/>
  <c r="K77" i="20"/>
  <c r="J77" i="20"/>
  <c r="I77" i="20"/>
  <c r="H77" i="20"/>
  <c r="F77" i="20"/>
  <c r="G77" i="20"/>
  <c r="O100" i="19"/>
  <c r="G87" i="19"/>
  <c r="G99" i="19" s="1"/>
  <c r="C83" i="19"/>
  <c r="C95" i="19" s="1"/>
  <c r="G82" i="19"/>
  <c r="G94" i="19" s="1"/>
  <c r="L85" i="19"/>
  <c r="L97" i="19" s="1"/>
  <c r="K79" i="19"/>
  <c r="O96" i="18"/>
  <c r="O98" i="17"/>
  <c r="E82" i="16"/>
  <c r="E94" i="16" s="1"/>
  <c r="L80" i="16"/>
  <c r="L92" i="16" s="1"/>
  <c r="J80" i="16"/>
  <c r="J92" i="16" s="1"/>
  <c r="C85" i="16"/>
  <c r="C97" i="16" s="1"/>
  <c r="I87" i="16"/>
  <c r="I99" i="16" s="1"/>
  <c r="I83" i="16"/>
  <c r="I95" i="16" s="1"/>
  <c r="L81" i="16"/>
  <c r="L93" i="16" s="1"/>
  <c r="H81" i="14"/>
  <c r="H93" i="14" s="1"/>
  <c r="H88" i="14"/>
  <c r="H100" i="14" s="1"/>
  <c r="L79" i="14"/>
  <c r="G80" i="14"/>
  <c r="G92" i="14" s="1"/>
  <c r="F80" i="14"/>
  <c r="F92" i="14" s="1"/>
  <c r="I79" i="14"/>
  <c r="E87" i="14"/>
  <c r="E99" i="14" s="1"/>
  <c r="D91" i="14"/>
  <c r="O100" i="13"/>
  <c r="I79" i="9"/>
  <c r="F83" i="9"/>
  <c r="F95" i="9" s="1"/>
  <c r="H87" i="8"/>
  <c r="H99" i="8" s="1"/>
  <c r="L82" i="8"/>
  <c r="L94" i="8" s="1"/>
  <c r="F79" i="8"/>
  <c r="E82" i="8"/>
  <c r="E94" i="8" s="1"/>
  <c r="C81" i="9"/>
  <c r="L79" i="8"/>
  <c r="F88" i="8"/>
  <c r="F100" i="8" s="1"/>
  <c r="O100" i="7"/>
  <c r="O96" i="7"/>
  <c r="F85" i="7"/>
  <c r="F97" i="7" s="1"/>
  <c r="C81" i="6"/>
  <c r="L83" i="7"/>
  <c r="L95" i="7" s="1"/>
  <c r="G80" i="6"/>
  <c r="G92" i="6" s="1"/>
  <c r="G84" i="7"/>
  <c r="G96" i="7" s="1"/>
  <c r="L86" i="7"/>
  <c r="L98" i="7" s="1"/>
  <c r="I87" i="6"/>
  <c r="I99" i="6" s="1"/>
  <c r="J79" i="7"/>
  <c r="E79" i="6"/>
  <c r="C83" i="6"/>
  <c r="C95" i="6" s="1"/>
  <c r="O94" i="22"/>
  <c r="F86" i="21"/>
  <c r="F98" i="21" s="1"/>
  <c r="K85" i="21"/>
  <c r="K97" i="21" s="1"/>
  <c r="G82" i="21"/>
  <c r="G94" i="21" s="1"/>
  <c r="K81" i="21"/>
  <c r="K93" i="21" s="1"/>
  <c r="E86" i="21"/>
  <c r="E98" i="21" s="1"/>
  <c r="J85" i="21"/>
  <c r="J97" i="21" s="1"/>
  <c r="E82" i="21"/>
  <c r="E94" i="21" s="1"/>
  <c r="J81" i="21"/>
  <c r="J93" i="21" s="1"/>
  <c r="D86" i="21"/>
  <c r="D98" i="21" s="1"/>
  <c r="H85" i="21"/>
  <c r="H97" i="21" s="1"/>
  <c r="D82" i="21"/>
  <c r="D94" i="21" s="1"/>
  <c r="I81" i="21"/>
  <c r="I93" i="21" s="1"/>
  <c r="K88" i="21"/>
  <c r="K100" i="21" s="1"/>
  <c r="C86" i="21"/>
  <c r="C98" i="21" s="1"/>
  <c r="G85" i="21"/>
  <c r="G97" i="21" s="1"/>
  <c r="L84" i="21"/>
  <c r="L96" i="21" s="1"/>
  <c r="C82" i="21"/>
  <c r="C94" i="21" s="1"/>
  <c r="H81" i="21"/>
  <c r="H93" i="21" s="1"/>
  <c r="L80" i="21"/>
  <c r="L92" i="21" s="1"/>
  <c r="J88" i="21"/>
  <c r="J100" i="21" s="1"/>
  <c r="F85" i="21"/>
  <c r="F97" i="21" s="1"/>
  <c r="K84" i="21"/>
  <c r="K96" i="21" s="1"/>
  <c r="G81" i="21"/>
  <c r="G93" i="21" s="1"/>
  <c r="K80" i="21"/>
  <c r="K92" i="21" s="1"/>
  <c r="I88" i="21"/>
  <c r="I100" i="21" s="1"/>
  <c r="E85" i="21"/>
  <c r="E97" i="21" s="1"/>
  <c r="J84" i="21"/>
  <c r="J96" i="21" s="1"/>
  <c r="F81" i="21"/>
  <c r="F93" i="21" s="1"/>
  <c r="J80" i="21"/>
  <c r="J92" i="21" s="1"/>
  <c r="H88" i="21"/>
  <c r="H100" i="21" s="1"/>
  <c r="D85" i="21"/>
  <c r="D97" i="21" s="1"/>
  <c r="I84" i="21"/>
  <c r="I96" i="21" s="1"/>
  <c r="D81" i="21"/>
  <c r="I80" i="21"/>
  <c r="I92" i="21" s="1"/>
  <c r="G88" i="21"/>
  <c r="G100" i="21" s="1"/>
  <c r="L87" i="21"/>
  <c r="L99" i="21" s="1"/>
  <c r="C85" i="21"/>
  <c r="C97" i="21" s="1"/>
  <c r="G84" i="21"/>
  <c r="G96" i="21" s="1"/>
  <c r="L83" i="21"/>
  <c r="L95" i="21" s="1"/>
  <c r="C81" i="21"/>
  <c r="H80" i="21"/>
  <c r="H92" i="21" s="1"/>
  <c r="L79" i="21"/>
  <c r="F88" i="21"/>
  <c r="F100" i="21" s="1"/>
  <c r="J87" i="21"/>
  <c r="J99" i="21" s="1"/>
  <c r="F84" i="21"/>
  <c r="F96" i="21" s="1"/>
  <c r="K83" i="21"/>
  <c r="K95" i="21" s="1"/>
  <c r="G80" i="21"/>
  <c r="G92" i="21" s="1"/>
  <c r="K79" i="21"/>
  <c r="E88" i="21"/>
  <c r="E100" i="21" s="1"/>
  <c r="I87" i="21"/>
  <c r="I99" i="21" s="1"/>
  <c r="E84" i="21"/>
  <c r="E96" i="21" s="1"/>
  <c r="J83" i="21"/>
  <c r="J95" i="21" s="1"/>
  <c r="F80" i="21"/>
  <c r="F92" i="21" s="1"/>
  <c r="J79" i="21"/>
  <c r="D88" i="21"/>
  <c r="D100" i="21" s="1"/>
  <c r="H87" i="21"/>
  <c r="H99" i="21" s="1"/>
  <c r="C88" i="21"/>
  <c r="C100" i="21" s="1"/>
  <c r="G87" i="21"/>
  <c r="G99" i="21" s="1"/>
  <c r="L86" i="21"/>
  <c r="L98" i="21" s="1"/>
  <c r="C84" i="21"/>
  <c r="C96" i="21" s="1"/>
  <c r="H83" i="21"/>
  <c r="H95" i="21" s="1"/>
  <c r="L82" i="21"/>
  <c r="L94" i="21" s="1"/>
  <c r="C80" i="21"/>
  <c r="H79" i="21"/>
  <c r="F87" i="21"/>
  <c r="F99" i="21" s="1"/>
  <c r="K86" i="21"/>
  <c r="K98" i="21" s="1"/>
  <c r="E87" i="21"/>
  <c r="E99" i="21" s="1"/>
  <c r="L85" i="21"/>
  <c r="L97" i="21" s="1"/>
  <c r="K82" i="21"/>
  <c r="K94" i="21" s="1"/>
  <c r="J82" i="21"/>
  <c r="J94" i="21" s="1"/>
  <c r="I82" i="21"/>
  <c r="I94" i="21" s="1"/>
  <c r="H82" i="21"/>
  <c r="H94" i="21" s="1"/>
  <c r="I79" i="21"/>
  <c r="G79" i="21"/>
  <c r="D87" i="21"/>
  <c r="D99" i="21" s="1"/>
  <c r="D84" i="21"/>
  <c r="D96" i="21" s="1"/>
  <c r="F79" i="21"/>
  <c r="C87" i="21"/>
  <c r="C99" i="21" s="1"/>
  <c r="E79" i="21"/>
  <c r="D79" i="21"/>
  <c r="I86" i="21"/>
  <c r="I98" i="21" s="1"/>
  <c r="L81" i="21"/>
  <c r="L93" i="21" s="1"/>
  <c r="H86" i="21"/>
  <c r="H98" i="21" s="1"/>
  <c r="G86" i="21"/>
  <c r="G98" i="21" s="1"/>
  <c r="I83" i="21"/>
  <c r="I95" i="21" s="1"/>
  <c r="F83" i="21"/>
  <c r="F95" i="21" s="1"/>
  <c r="E83" i="21"/>
  <c r="E95" i="21" s="1"/>
  <c r="C83" i="21"/>
  <c r="C95" i="21" s="1"/>
  <c r="E80" i="21"/>
  <c r="D83" i="21"/>
  <c r="D95" i="21" s="1"/>
  <c r="P83" i="17"/>
  <c r="O95" i="17" s="1"/>
  <c r="J81" i="16"/>
  <c r="J93" i="16" s="1"/>
  <c r="G84" i="16"/>
  <c r="G96" i="16" s="1"/>
  <c r="G80" i="16"/>
  <c r="G92" i="16" s="1"/>
  <c r="D25" i="16"/>
  <c r="E79" i="16"/>
  <c r="D83" i="16"/>
  <c r="D95" i="16" s="1"/>
  <c r="L80" i="14"/>
  <c r="L92" i="14" s="1"/>
  <c r="F85" i="14"/>
  <c r="F97" i="14" s="1"/>
  <c r="D85" i="14"/>
  <c r="D97" i="14" s="1"/>
  <c r="K79" i="14"/>
  <c r="J79" i="14"/>
  <c r="C92" i="14"/>
  <c r="I86" i="14"/>
  <c r="I98" i="14" s="1"/>
  <c r="I82" i="16"/>
  <c r="I94" i="16" s="1"/>
  <c r="O98" i="12"/>
  <c r="C82" i="9"/>
  <c r="C94" i="9" s="1"/>
  <c r="G88" i="9"/>
  <c r="G100" i="9" s="1"/>
  <c r="E88" i="9"/>
  <c r="E100" i="9" s="1"/>
  <c r="C92" i="9"/>
  <c r="K82" i="9"/>
  <c r="K94" i="9" s="1"/>
  <c r="F83" i="8"/>
  <c r="F95" i="8" s="1"/>
  <c r="O100" i="8"/>
  <c r="E86" i="10"/>
  <c r="E98" i="10" s="1"/>
  <c r="J85" i="10"/>
  <c r="J97" i="10" s="1"/>
  <c r="E82" i="10"/>
  <c r="E94" i="10" s="1"/>
  <c r="J81" i="10"/>
  <c r="J93" i="10" s="1"/>
  <c r="D86" i="10"/>
  <c r="D98" i="10" s="1"/>
  <c r="H85" i="10"/>
  <c r="H97" i="10" s="1"/>
  <c r="D82" i="10"/>
  <c r="D94" i="10" s="1"/>
  <c r="I81" i="10"/>
  <c r="I93" i="10" s="1"/>
  <c r="K88" i="10"/>
  <c r="K100" i="10" s="1"/>
  <c r="C86" i="10"/>
  <c r="C98" i="10" s="1"/>
  <c r="G85" i="10"/>
  <c r="G97" i="10" s="1"/>
  <c r="L84" i="10"/>
  <c r="L96" i="10" s="1"/>
  <c r="C82" i="10"/>
  <c r="C94" i="10" s="1"/>
  <c r="H81" i="10"/>
  <c r="H93" i="10" s="1"/>
  <c r="L80" i="10"/>
  <c r="L92" i="10" s="1"/>
  <c r="J88" i="10"/>
  <c r="J100" i="10" s="1"/>
  <c r="F85" i="10"/>
  <c r="F97" i="10" s="1"/>
  <c r="K84" i="10"/>
  <c r="K96" i="10" s="1"/>
  <c r="G81" i="10"/>
  <c r="G93" i="10" s="1"/>
  <c r="K80" i="10"/>
  <c r="K92" i="10" s="1"/>
  <c r="I88" i="10"/>
  <c r="I100" i="10" s="1"/>
  <c r="E85" i="10"/>
  <c r="E97" i="10" s="1"/>
  <c r="J84" i="10"/>
  <c r="J96" i="10" s="1"/>
  <c r="F81" i="10"/>
  <c r="F93" i="10" s="1"/>
  <c r="J80" i="10"/>
  <c r="J92" i="10" s="1"/>
  <c r="H88" i="10"/>
  <c r="H100" i="10" s="1"/>
  <c r="D85" i="10"/>
  <c r="D97" i="10" s="1"/>
  <c r="I84" i="10"/>
  <c r="I96" i="10" s="1"/>
  <c r="D81" i="10"/>
  <c r="I80" i="10"/>
  <c r="I92" i="10" s="1"/>
  <c r="G88" i="10"/>
  <c r="G100" i="10" s="1"/>
  <c r="L87" i="10"/>
  <c r="L99" i="10" s="1"/>
  <c r="C85" i="10"/>
  <c r="C97" i="10" s="1"/>
  <c r="G84" i="10"/>
  <c r="G96" i="10" s="1"/>
  <c r="L83" i="10"/>
  <c r="L95" i="10" s="1"/>
  <c r="C81" i="10"/>
  <c r="H80" i="10"/>
  <c r="H92" i="10" s="1"/>
  <c r="L79" i="10"/>
  <c r="F88" i="10"/>
  <c r="F100" i="10" s="1"/>
  <c r="J87" i="10"/>
  <c r="J99" i="10" s="1"/>
  <c r="F84" i="10"/>
  <c r="F96" i="10" s="1"/>
  <c r="K83" i="10"/>
  <c r="K95" i="10" s="1"/>
  <c r="G80" i="10"/>
  <c r="G92" i="10" s="1"/>
  <c r="K79" i="10"/>
  <c r="E88" i="10"/>
  <c r="E100" i="10" s="1"/>
  <c r="I87" i="10"/>
  <c r="I99" i="10" s="1"/>
  <c r="E84" i="10"/>
  <c r="E96" i="10" s="1"/>
  <c r="J83" i="10"/>
  <c r="J95" i="10" s="1"/>
  <c r="F80" i="10"/>
  <c r="F92" i="10" s="1"/>
  <c r="J79" i="10"/>
  <c r="D88" i="10"/>
  <c r="D100" i="10" s="1"/>
  <c r="H87" i="10"/>
  <c r="H99" i="10" s="1"/>
  <c r="D84" i="10"/>
  <c r="D96" i="10" s="1"/>
  <c r="I83" i="10"/>
  <c r="I95" i="10" s="1"/>
  <c r="E80" i="10"/>
  <c r="I79" i="10"/>
  <c r="C88" i="10"/>
  <c r="C100" i="10" s="1"/>
  <c r="G87" i="10"/>
  <c r="G99" i="10" s="1"/>
  <c r="L86" i="10"/>
  <c r="L98" i="10" s="1"/>
  <c r="C84" i="10"/>
  <c r="C96" i="10" s="1"/>
  <c r="H83" i="10"/>
  <c r="H95" i="10" s="1"/>
  <c r="L82" i="10"/>
  <c r="L94" i="10" s="1"/>
  <c r="C80" i="10"/>
  <c r="H79" i="10"/>
  <c r="F87" i="10"/>
  <c r="F99" i="10" s="1"/>
  <c r="K86" i="10"/>
  <c r="K98" i="10" s="1"/>
  <c r="F83" i="10"/>
  <c r="F95" i="10" s="1"/>
  <c r="K82" i="10"/>
  <c r="K94" i="10" s="1"/>
  <c r="G79" i="10"/>
  <c r="E87" i="10"/>
  <c r="E99" i="10" s="1"/>
  <c r="I86" i="10"/>
  <c r="I98" i="10" s="1"/>
  <c r="E83" i="10"/>
  <c r="E95" i="10" s="1"/>
  <c r="J82" i="10"/>
  <c r="J94" i="10" s="1"/>
  <c r="F79" i="10"/>
  <c r="C87" i="10"/>
  <c r="C99" i="10" s="1"/>
  <c r="G86" i="10"/>
  <c r="G98" i="10" s="1"/>
  <c r="L85" i="10"/>
  <c r="L97" i="10" s="1"/>
  <c r="C83" i="10"/>
  <c r="C95" i="10" s="1"/>
  <c r="H82" i="10"/>
  <c r="H94" i="10" s="1"/>
  <c r="L81" i="10"/>
  <c r="L93" i="10" s="1"/>
  <c r="D79" i="10"/>
  <c r="D83" i="10"/>
  <c r="D95" i="10" s="1"/>
  <c r="I82" i="10"/>
  <c r="I94" i="10" s="1"/>
  <c r="G82" i="10"/>
  <c r="G94" i="10" s="1"/>
  <c r="K81" i="10"/>
  <c r="K93" i="10" s="1"/>
  <c r="D87" i="10"/>
  <c r="D99" i="10" s="1"/>
  <c r="H86" i="10"/>
  <c r="H98" i="10" s="1"/>
  <c r="F86" i="10"/>
  <c r="F98" i="10" s="1"/>
  <c r="E79" i="10"/>
  <c r="K85" i="10"/>
  <c r="K97" i="10" s="1"/>
  <c r="J81" i="8"/>
  <c r="J93" i="8" s="1"/>
  <c r="O99" i="8"/>
  <c r="F85" i="8"/>
  <c r="F97" i="8" s="1"/>
  <c r="L83" i="9"/>
  <c r="L95" i="9" s="1"/>
  <c r="D85" i="8"/>
  <c r="D97" i="8" s="1"/>
  <c r="J87" i="8"/>
  <c r="J99" i="8" s="1"/>
  <c r="F81" i="6"/>
  <c r="F93" i="6" s="1"/>
  <c r="J84" i="7"/>
  <c r="J96" i="7" s="1"/>
  <c r="H80" i="6"/>
  <c r="H92" i="6" s="1"/>
  <c r="K79" i="6"/>
  <c r="K83" i="7"/>
  <c r="K95" i="7" s="1"/>
  <c r="G87" i="7"/>
  <c r="G99" i="7" s="1"/>
  <c r="D88" i="6"/>
  <c r="D100" i="6" s="1"/>
  <c r="D84" i="7"/>
  <c r="D96" i="7" s="1"/>
  <c r="E83" i="7"/>
  <c r="E95" i="7" s="1"/>
  <c r="H82" i="6"/>
  <c r="H94" i="6" s="1"/>
  <c r="G82" i="7"/>
  <c r="G94" i="7" s="1"/>
  <c r="O96" i="4"/>
  <c r="F86" i="7"/>
  <c r="F98" i="7" s="1"/>
  <c r="O96" i="21"/>
  <c r="L80" i="19"/>
  <c r="L92" i="19" s="1"/>
  <c r="H85" i="19"/>
  <c r="H97" i="19" s="1"/>
  <c r="K84" i="19"/>
  <c r="K96" i="19" s="1"/>
  <c r="C87" i="19"/>
  <c r="C99" i="19" s="1"/>
  <c r="K83" i="19"/>
  <c r="K95" i="19" s="1"/>
  <c r="P89" i="17"/>
  <c r="L83" i="16"/>
  <c r="L95" i="16" s="1"/>
  <c r="K79" i="16"/>
  <c r="F87" i="16"/>
  <c r="F99" i="16" s="1"/>
  <c r="F79" i="14"/>
  <c r="K81" i="14"/>
  <c r="K93" i="14" s="1"/>
  <c r="K85" i="14"/>
  <c r="K97" i="14" s="1"/>
  <c r="D83" i="14"/>
  <c r="D95" i="14" s="1"/>
  <c r="E79" i="14"/>
  <c r="D87" i="14"/>
  <c r="D99" i="14" s="1"/>
  <c r="I82" i="14"/>
  <c r="I94" i="14" s="1"/>
  <c r="G82" i="14"/>
  <c r="G94" i="14" s="1"/>
  <c r="D22" i="14"/>
  <c r="H86" i="14"/>
  <c r="H98" i="14" s="1"/>
  <c r="F86" i="14"/>
  <c r="F98" i="14" s="1"/>
  <c r="I77" i="15"/>
  <c r="H77" i="15"/>
  <c r="G77" i="15"/>
  <c r="F77" i="15"/>
  <c r="D77" i="15"/>
  <c r="C77" i="15"/>
  <c r="L77" i="15"/>
  <c r="K77" i="15"/>
  <c r="J77" i="15"/>
  <c r="E77" i="15"/>
  <c r="K84" i="14"/>
  <c r="K96" i="14" s="1"/>
  <c r="F81" i="14"/>
  <c r="F93" i="14" s="1"/>
  <c r="I84" i="14"/>
  <c r="I96" i="14" s="1"/>
  <c r="H79" i="14"/>
  <c r="F87" i="14"/>
  <c r="F99" i="14" s="1"/>
  <c r="E83" i="14"/>
  <c r="E95" i="14" s="1"/>
  <c r="D87" i="16"/>
  <c r="D99" i="16" s="1"/>
  <c r="K77" i="12"/>
  <c r="J77" i="12"/>
  <c r="I77" i="12"/>
  <c r="H77" i="12"/>
  <c r="G77" i="12"/>
  <c r="E77" i="12"/>
  <c r="D77" i="12"/>
  <c r="C77" i="12"/>
  <c r="L77" i="12"/>
  <c r="F77" i="12"/>
  <c r="P89" i="12"/>
  <c r="H85" i="9"/>
  <c r="H97" i="9" s="1"/>
  <c r="H81" i="9"/>
  <c r="H93" i="9" s="1"/>
  <c r="E85" i="9"/>
  <c r="E97" i="9" s="1"/>
  <c r="L87" i="9"/>
  <c r="L99" i="9" s="1"/>
  <c r="I87" i="9"/>
  <c r="I99" i="9" s="1"/>
  <c r="L77" i="11"/>
  <c r="K77" i="11"/>
  <c r="J77" i="11"/>
  <c r="I77" i="11"/>
  <c r="H77" i="11"/>
  <c r="G77" i="11"/>
  <c r="F77" i="11"/>
  <c r="E77" i="11"/>
  <c r="D77" i="11"/>
  <c r="C77" i="11"/>
  <c r="H79" i="9"/>
  <c r="J82" i="9"/>
  <c r="J94" i="9" s="1"/>
  <c r="E87" i="9"/>
  <c r="E99" i="9" s="1"/>
  <c r="K82" i="8"/>
  <c r="K94" i="8" s="1"/>
  <c r="K84" i="8"/>
  <c r="K96" i="8" s="1"/>
  <c r="J77" i="9"/>
  <c r="I77" i="9"/>
  <c r="H77" i="9"/>
  <c r="G77" i="9"/>
  <c r="E77" i="9"/>
  <c r="D77" i="9"/>
  <c r="C77" i="9"/>
  <c r="L77" i="9"/>
  <c r="K77" i="9"/>
  <c r="F77" i="9"/>
  <c r="F81" i="8"/>
  <c r="F93" i="8" s="1"/>
  <c r="I84" i="8"/>
  <c r="I96" i="8" s="1"/>
  <c r="J80" i="6"/>
  <c r="J92" i="6" s="1"/>
  <c r="H88" i="7"/>
  <c r="H100" i="7" s="1"/>
  <c r="O99" i="7"/>
  <c r="L79" i="6"/>
  <c r="C88" i="7"/>
  <c r="C100" i="7" s="1"/>
  <c r="H87" i="6"/>
  <c r="H99" i="6" s="1"/>
  <c r="H83" i="7"/>
  <c r="H95" i="7" s="1"/>
  <c r="F87" i="6"/>
  <c r="F99" i="6" s="1"/>
  <c r="G79" i="7"/>
  <c r="J82" i="7"/>
  <c r="J94" i="7" s="1"/>
  <c r="L81" i="6"/>
  <c r="L93" i="6" s="1"/>
  <c r="K81" i="7"/>
  <c r="K93" i="7" s="1"/>
  <c r="E82" i="7"/>
  <c r="E94" i="7" s="1"/>
  <c r="K88" i="7"/>
  <c r="K100" i="7" s="1"/>
  <c r="O94" i="5"/>
  <c r="O95" i="19"/>
  <c r="O94" i="20"/>
  <c r="O96" i="20"/>
  <c r="E86" i="17"/>
  <c r="E98" i="17" s="1"/>
  <c r="J85" i="17"/>
  <c r="J97" i="17" s="1"/>
  <c r="E82" i="17"/>
  <c r="E94" i="17" s="1"/>
  <c r="J81" i="17"/>
  <c r="J93" i="17" s="1"/>
  <c r="D86" i="17"/>
  <c r="D98" i="17" s="1"/>
  <c r="H85" i="17"/>
  <c r="H97" i="17" s="1"/>
  <c r="D82" i="17"/>
  <c r="D94" i="17" s="1"/>
  <c r="I81" i="17"/>
  <c r="I93" i="17" s="1"/>
  <c r="K88" i="17"/>
  <c r="K100" i="17" s="1"/>
  <c r="C86" i="17"/>
  <c r="C98" i="17" s="1"/>
  <c r="G85" i="17"/>
  <c r="G97" i="17" s="1"/>
  <c r="L84" i="17"/>
  <c r="L96" i="17" s="1"/>
  <c r="C82" i="17"/>
  <c r="C94" i="17" s="1"/>
  <c r="H81" i="17"/>
  <c r="H93" i="17" s="1"/>
  <c r="L80" i="17"/>
  <c r="L92" i="17" s="1"/>
  <c r="J88" i="17"/>
  <c r="J100" i="17" s="1"/>
  <c r="F85" i="17"/>
  <c r="F97" i="17" s="1"/>
  <c r="K84" i="17"/>
  <c r="K96" i="17" s="1"/>
  <c r="G81" i="17"/>
  <c r="G93" i="17" s="1"/>
  <c r="K80" i="17"/>
  <c r="K92" i="17" s="1"/>
  <c r="I88" i="17"/>
  <c r="I100" i="17" s="1"/>
  <c r="E85" i="17"/>
  <c r="E97" i="17" s="1"/>
  <c r="J84" i="17"/>
  <c r="J96" i="17" s="1"/>
  <c r="F81" i="17"/>
  <c r="F93" i="17" s="1"/>
  <c r="J80" i="17"/>
  <c r="J92" i="17" s="1"/>
  <c r="G88" i="17"/>
  <c r="G100" i="17" s="1"/>
  <c r="L87" i="17"/>
  <c r="L99" i="17" s="1"/>
  <c r="C85" i="17"/>
  <c r="C97" i="17" s="1"/>
  <c r="G84" i="17"/>
  <c r="G96" i="17" s="1"/>
  <c r="L83" i="17"/>
  <c r="L95" i="17" s="1"/>
  <c r="C81" i="17"/>
  <c r="H80" i="17"/>
  <c r="H92" i="17" s="1"/>
  <c r="L79" i="17"/>
  <c r="F88" i="17"/>
  <c r="F100" i="17" s="1"/>
  <c r="J87" i="17"/>
  <c r="J99" i="17" s="1"/>
  <c r="F84" i="17"/>
  <c r="F96" i="17" s="1"/>
  <c r="K83" i="17"/>
  <c r="K95" i="17" s="1"/>
  <c r="G80" i="17"/>
  <c r="G92" i="17" s="1"/>
  <c r="K79" i="17"/>
  <c r="E88" i="17"/>
  <c r="E100" i="17" s="1"/>
  <c r="I87" i="17"/>
  <c r="I99" i="17" s="1"/>
  <c r="E84" i="17"/>
  <c r="E96" i="17" s="1"/>
  <c r="J83" i="17"/>
  <c r="J95" i="17" s="1"/>
  <c r="F80" i="17"/>
  <c r="F92" i="17" s="1"/>
  <c r="J79" i="17"/>
  <c r="D88" i="17"/>
  <c r="D100" i="17" s="1"/>
  <c r="H87" i="17"/>
  <c r="H99" i="17" s="1"/>
  <c r="D84" i="17"/>
  <c r="D96" i="17" s="1"/>
  <c r="I83" i="17"/>
  <c r="I95" i="17" s="1"/>
  <c r="E80" i="17"/>
  <c r="I79" i="17"/>
  <c r="C88" i="17"/>
  <c r="C100" i="17" s="1"/>
  <c r="G87" i="17"/>
  <c r="G99" i="17" s="1"/>
  <c r="L86" i="17"/>
  <c r="L98" i="17" s="1"/>
  <c r="C84" i="17"/>
  <c r="C96" i="17" s="1"/>
  <c r="H83" i="17"/>
  <c r="H95" i="17" s="1"/>
  <c r="L82" i="17"/>
  <c r="L94" i="17" s="1"/>
  <c r="C80" i="17"/>
  <c r="H79" i="17"/>
  <c r="F87" i="17"/>
  <c r="F99" i="17" s="1"/>
  <c r="K86" i="17"/>
  <c r="K98" i="17" s="1"/>
  <c r="F83" i="17"/>
  <c r="F95" i="17" s="1"/>
  <c r="K82" i="17"/>
  <c r="K94" i="17" s="1"/>
  <c r="G79" i="17"/>
  <c r="E87" i="17"/>
  <c r="E99" i="17" s="1"/>
  <c r="I86" i="17"/>
  <c r="I98" i="17" s="1"/>
  <c r="D87" i="17"/>
  <c r="D99" i="17" s="1"/>
  <c r="H86" i="17"/>
  <c r="H98" i="17" s="1"/>
  <c r="D83" i="17"/>
  <c r="D95" i="17" s="1"/>
  <c r="I82" i="17"/>
  <c r="I94" i="17" s="1"/>
  <c r="E79" i="17"/>
  <c r="J82" i="17"/>
  <c r="J94" i="17" s="1"/>
  <c r="F79" i="17"/>
  <c r="L85" i="17"/>
  <c r="L97" i="17" s="1"/>
  <c r="H82" i="17"/>
  <c r="H94" i="17" s="1"/>
  <c r="D79" i="17"/>
  <c r="K85" i="17"/>
  <c r="K97" i="17" s="1"/>
  <c r="G82" i="17"/>
  <c r="G94" i="17" s="1"/>
  <c r="D85" i="17"/>
  <c r="D97" i="17" s="1"/>
  <c r="H88" i="17"/>
  <c r="H100" i="17" s="1"/>
  <c r="L81" i="17"/>
  <c r="L93" i="17" s="1"/>
  <c r="K81" i="17"/>
  <c r="K93" i="17" s="1"/>
  <c r="I84" i="17"/>
  <c r="I96" i="17" s="1"/>
  <c r="D81" i="17"/>
  <c r="C87" i="17"/>
  <c r="C99" i="17" s="1"/>
  <c r="I80" i="17"/>
  <c r="I92" i="17" s="1"/>
  <c r="E83" i="17"/>
  <c r="E95" i="17" s="1"/>
  <c r="F86" i="17"/>
  <c r="F98" i="17" s="1"/>
  <c r="G86" i="17"/>
  <c r="G98" i="17" s="1"/>
  <c r="C83" i="17"/>
  <c r="C95" i="17" s="1"/>
  <c r="D88" i="18"/>
  <c r="D100" i="18" s="1"/>
  <c r="H87" i="18"/>
  <c r="H99" i="18" s="1"/>
  <c r="D84" i="18"/>
  <c r="D96" i="18" s="1"/>
  <c r="I83" i="18"/>
  <c r="I95" i="18" s="1"/>
  <c r="E80" i="18"/>
  <c r="I79" i="18"/>
  <c r="C88" i="18"/>
  <c r="C100" i="18" s="1"/>
  <c r="G87" i="18"/>
  <c r="G99" i="18" s="1"/>
  <c r="L86" i="18"/>
  <c r="L98" i="18" s="1"/>
  <c r="C84" i="18"/>
  <c r="C96" i="18" s="1"/>
  <c r="H83" i="18"/>
  <c r="H95" i="18" s="1"/>
  <c r="L82" i="18"/>
  <c r="L94" i="18" s="1"/>
  <c r="C80" i="18"/>
  <c r="H79" i="18"/>
  <c r="F87" i="18"/>
  <c r="F99" i="18" s="1"/>
  <c r="K86" i="18"/>
  <c r="K98" i="18" s="1"/>
  <c r="F83" i="18"/>
  <c r="F95" i="18" s="1"/>
  <c r="K82" i="18"/>
  <c r="K94" i="18" s="1"/>
  <c r="G79" i="18"/>
  <c r="E87" i="18"/>
  <c r="E99" i="18" s="1"/>
  <c r="I86" i="18"/>
  <c r="I98" i="18" s="1"/>
  <c r="E83" i="18"/>
  <c r="E95" i="18" s="1"/>
  <c r="J82" i="18"/>
  <c r="J94" i="18" s="1"/>
  <c r="F79" i="18"/>
  <c r="D87" i="18"/>
  <c r="D99" i="18" s="1"/>
  <c r="H86" i="18"/>
  <c r="H98" i="18" s="1"/>
  <c r="D83" i="18"/>
  <c r="D95" i="18" s="1"/>
  <c r="I82" i="18"/>
  <c r="I94" i="18" s="1"/>
  <c r="E79" i="18"/>
  <c r="F86" i="18"/>
  <c r="F98" i="18" s="1"/>
  <c r="K85" i="18"/>
  <c r="K97" i="18" s="1"/>
  <c r="G82" i="18"/>
  <c r="G94" i="18" s="1"/>
  <c r="K81" i="18"/>
  <c r="K93" i="18" s="1"/>
  <c r="E86" i="18"/>
  <c r="E98" i="18" s="1"/>
  <c r="J85" i="18"/>
  <c r="J97" i="18" s="1"/>
  <c r="E82" i="18"/>
  <c r="E94" i="18" s="1"/>
  <c r="J81" i="18"/>
  <c r="J93" i="18" s="1"/>
  <c r="D86" i="18"/>
  <c r="D98" i="18" s="1"/>
  <c r="H85" i="18"/>
  <c r="H97" i="18" s="1"/>
  <c r="D82" i="18"/>
  <c r="D94" i="18" s="1"/>
  <c r="I81" i="18"/>
  <c r="I93" i="18" s="1"/>
  <c r="K88" i="18"/>
  <c r="K100" i="18" s="1"/>
  <c r="C86" i="18"/>
  <c r="C98" i="18" s="1"/>
  <c r="G85" i="18"/>
  <c r="G97" i="18" s="1"/>
  <c r="L84" i="18"/>
  <c r="L96" i="18" s="1"/>
  <c r="C82" i="18"/>
  <c r="C94" i="18" s="1"/>
  <c r="H81" i="18"/>
  <c r="H93" i="18" s="1"/>
  <c r="L80" i="18"/>
  <c r="L92" i="18" s="1"/>
  <c r="J88" i="18"/>
  <c r="J100" i="18" s="1"/>
  <c r="F85" i="18"/>
  <c r="F97" i="18" s="1"/>
  <c r="K84" i="18"/>
  <c r="K96" i="18" s="1"/>
  <c r="G81" i="18"/>
  <c r="G93" i="18" s="1"/>
  <c r="K80" i="18"/>
  <c r="K92" i="18" s="1"/>
  <c r="I88" i="18"/>
  <c r="I100" i="18" s="1"/>
  <c r="E85" i="18"/>
  <c r="E97" i="18" s="1"/>
  <c r="J84" i="18"/>
  <c r="J96" i="18" s="1"/>
  <c r="F81" i="18"/>
  <c r="F93" i="18" s="1"/>
  <c r="J80" i="18"/>
  <c r="J92" i="18" s="1"/>
  <c r="F88" i="18"/>
  <c r="F100" i="18" s="1"/>
  <c r="J87" i="18"/>
  <c r="J99" i="18" s="1"/>
  <c r="F84" i="18"/>
  <c r="F96" i="18" s="1"/>
  <c r="K83" i="18"/>
  <c r="K95" i="18" s="1"/>
  <c r="G80" i="18"/>
  <c r="G92" i="18" s="1"/>
  <c r="K79" i="18"/>
  <c r="I84" i="18"/>
  <c r="I96" i="18" s="1"/>
  <c r="D81" i="18"/>
  <c r="L87" i="18"/>
  <c r="L99" i="18" s="1"/>
  <c r="G84" i="18"/>
  <c r="G96" i="18" s="1"/>
  <c r="C81" i="18"/>
  <c r="I87" i="18"/>
  <c r="I99" i="18" s="1"/>
  <c r="E84" i="18"/>
  <c r="E96" i="18" s="1"/>
  <c r="C87" i="18"/>
  <c r="C99" i="18" s="1"/>
  <c r="I80" i="18"/>
  <c r="I92" i="18" s="1"/>
  <c r="L83" i="18"/>
  <c r="L95" i="18" s="1"/>
  <c r="H80" i="18"/>
  <c r="H92" i="18" s="1"/>
  <c r="J83" i="18"/>
  <c r="J95" i="18" s="1"/>
  <c r="F80" i="18"/>
  <c r="F92" i="18" s="1"/>
  <c r="G86" i="18"/>
  <c r="G98" i="18" s="1"/>
  <c r="C83" i="18"/>
  <c r="C95" i="18" s="1"/>
  <c r="L79" i="18"/>
  <c r="J79" i="18"/>
  <c r="L85" i="18"/>
  <c r="L97" i="18" s="1"/>
  <c r="H82" i="18"/>
  <c r="H94" i="18" s="1"/>
  <c r="D79" i="18"/>
  <c r="H88" i="18"/>
  <c r="H100" i="18" s="1"/>
  <c r="D85" i="18"/>
  <c r="D97" i="18" s="1"/>
  <c r="G88" i="18"/>
  <c r="G100" i="18" s="1"/>
  <c r="C85" i="18"/>
  <c r="C97" i="18" s="1"/>
  <c r="L81" i="18"/>
  <c r="L93" i="18" s="1"/>
  <c r="E88" i="18"/>
  <c r="E100" i="18" s="1"/>
  <c r="D86" i="16"/>
  <c r="D98" i="16" s="1"/>
  <c r="F85" i="16"/>
  <c r="F97" i="16" s="1"/>
  <c r="H88" i="16"/>
  <c r="H100" i="16" s="1"/>
  <c r="O94" i="16"/>
  <c r="K86" i="16"/>
  <c r="K98" i="16" s="1"/>
  <c r="D91" i="16"/>
  <c r="J80" i="14"/>
  <c r="J92" i="14" s="1"/>
  <c r="D81" i="14"/>
  <c r="K86" i="14"/>
  <c r="K98" i="14" s="1"/>
  <c r="J82" i="14"/>
  <c r="J94" i="14" s="1"/>
  <c r="O97" i="13"/>
  <c r="J82" i="16"/>
  <c r="J94" i="16" s="1"/>
  <c r="L80" i="9"/>
  <c r="L92" i="9" s="1"/>
  <c r="J84" i="9"/>
  <c r="J96" i="9" s="1"/>
  <c r="F86" i="11"/>
  <c r="F98" i="11" s="1"/>
  <c r="K85" i="11"/>
  <c r="K97" i="11" s="1"/>
  <c r="G82" i="11"/>
  <c r="G94" i="11" s="1"/>
  <c r="K81" i="11"/>
  <c r="K93" i="11" s="1"/>
  <c r="E86" i="11"/>
  <c r="E98" i="11" s="1"/>
  <c r="J85" i="11"/>
  <c r="J97" i="11" s="1"/>
  <c r="E82" i="11"/>
  <c r="E94" i="11" s="1"/>
  <c r="J81" i="11"/>
  <c r="J93" i="11" s="1"/>
  <c r="D86" i="11"/>
  <c r="D98" i="11" s="1"/>
  <c r="H85" i="11"/>
  <c r="H97" i="11" s="1"/>
  <c r="D82" i="11"/>
  <c r="D94" i="11" s="1"/>
  <c r="I81" i="11"/>
  <c r="I93" i="11" s="1"/>
  <c r="K88" i="11"/>
  <c r="K100" i="11" s="1"/>
  <c r="C86" i="11"/>
  <c r="C98" i="11" s="1"/>
  <c r="G85" i="11"/>
  <c r="G97" i="11" s="1"/>
  <c r="L84" i="11"/>
  <c r="L96" i="11" s="1"/>
  <c r="C82" i="11"/>
  <c r="C94" i="11" s="1"/>
  <c r="H81" i="11"/>
  <c r="H93" i="11" s="1"/>
  <c r="L80" i="11"/>
  <c r="L92" i="11" s="1"/>
  <c r="J88" i="11"/>
  <c r="J100" i="11" s="1"/>
  <c r="F85" i="11"/>
  <c r="F97" i="11" s="1"/>
  <c r="K84" i="11"/>
  <c r="K96" i="11" s="1"/>
  <c r="G81" i="11"/>
  <c r="G93" i="11" s="1"/>
  <c r="K80" i="11"/>
  <c r="K92" i="11" s="1"/>
  <c r="I88" i="11"/>
  <c r="I100" i="11" s="1"/>
  <c r="E85" i="11"/>
  <c r="E97" i="11" s="1"/>
  <c r="J84" i="11"/>
  <c r="J96" i="11" s="1"/>
  <c r="F81" i="11"/>
  <c r="F93" i="11" s="1"/>
  <c r="J80" i="11"/>
  <c r="J92" i="11" s="1"/>
  <c r="H88" i="11"/>
  <c r="H100" i="11" s="1"/>
  <c r="D85" i="11"/>
  <c r="D97" i="11" s="1"/>
  <c r="I84" i="11"/>
  <c r="I96" i="11" s="1"/>
  <c r="D81" i="11"/>
  <c r="I80" i="11"/>
  <c r="I92" i="11" s="1"/>
  <c r="G88" i="11"/>
  <c r="G100" i="11" s="1"/>
  <c r="L87" i="11"/>
  <c r="L99" i="11" s="1"/>
  <c r="C85" i="11"/>
  <c r="C97" i="11" s="1"/>
  <c r="G84" i="11"/>
  <c r="G96" i="11" s="1"/>
  <c r="L83" i="11"/>
  <c r="L95" i="11" s="1"/>
  <c r="C81" i="11"/>
  <c r="H80" i="11"/>
  <c r="H92" i="11" s="1"/>
  <c r="L79" i="11"/>
  <c r="F88" i="11"/>
  <c r="F100" i="11" s="1"/>
  <c r="J87" i="11"/>
  <c r="J99" i="11" s="1"/>
  <c r="F84" i="11"/>
  <c r="F96" i="11" s="1"/>
  <c r="K83" i="11"/>
  <c r="K95" i="11" s="1"/>
  <c r="G80" i="11"/>
  <c r="G92" i="11" s="1"/>
  <c r="K79" i="11"/>
  <c r="E88" i="11"/>
  <c r="E100" i="11" s="1"/>
  <c r="I87" i="11"/>
  <c r="I99" i="11" s="1"/>
  <c r="E84" i="11"/>
  <c r="E96" i="11" s="1"/>
  <c r="J83" i="11"/>
  <c r="J95" i="11" s="1"/>
  <c r="F80" i="11"/>
  <c r="F92" i="11" s="1"/>
  <c r="J79" i="11"/>
  <c r="D88" i="11"/>
  <c r="D100" i="11" s="1"/>
  <c r="H87" i="11"/>
  <c r="H99" i="11" s="1"/>
  <c r="D84" i="11"/>
  <c r="D96" i="11" s="1"/>
  <c r="I83" i="11"/>
  <c r="I95" i="11" s="1"/>
  <c r="E80" i="11"/>
  <c r="I79" i="11"/>
  <c r="C88" i="11"/>
  <c r="C100" i="11" s="1"/>
  <c r="G87" i="11"/>
  <c r="G99" i="11" s="1"/>
  <c r="L86" i="11"/>
  <c r="L98" i="11" s="1"/>
  <c r="C84" i="11"/>
  <c r="C96" i="11" s="1"/>
  <c r="H83" i="11"/>
  <c r="H95" i="11" s="1"/>
  <c r="L82" i="11"/>
  <c r="L94" i="11" s="1"/>
  <c r="C80" i="11"/>
  <c r="H79" i="11"/>
  <c r="F87" i="11"/>
  <c r="F99" i="11" s="1"/>
  <c r="K86" i="11"/>
  <c r="K98" i="11" s="1"/>
  <c r="F83" i="11"/>
  <c r="F95" i="11" s="1"/>
  <c r="K82" i="11"/>
  <c r="K94" i="11" s="1"/>
  <c r="G79" i="11"/>
  <c r="D87" i="11"/>
  <c r="D99" i="11" s="1"/>
  <c r="H86" i="11"/>
  <c r="H98" i="11" s="1"/>
  <c r="D83" i="11"/>
  <c r="D95" i="11" s="1"/>
  <c r="I82" i="11"/>
  <c r="I94" i="11" s="1"/>
  <c r="E79" i="11"/>
  <c r="L85" i="11"/>
  <c r="L97" i="11" s="1"/>
  <c r="L81" i="11"/>
  <c r="L93" i="11" s="1"/>
  <c r="E83" i="11"/>
  <c r="E95" i="11" s="1"/>
  <c r="F79" i="11"/>
  <c r="C83" i="11"/>
  <c r="C95" i="11" s="1"/>
  <c r="D79" i="11"/>
  <c r="E87" i="11"/>
  <c r="E99" i="11" s="1"/>
  <c r="C87" i="11"/>
  <c r="C99" i="11" s="1"/>
  <c r="J82" i="11"/>
  <c r="J94" i="11" s="1"/>
  <c r="I86" i="11"/>
  <c r="I98" i="11" s="1"/>
  <c r="H82" i="11"/>
  <c r="H94" i="11" s="1"/>
  <c r="G86" i="11"/>
  <c r="G98" i="11" s="1"/>
  <c r="O94" i="9"/>
  <c r="C92" i="8"/>
  <c r="I82" i="9"/>
  <c r="I94" i="9" s="1"/>
  <c r="O96" i="10"/>
  <c r="J80" i="8"/>
  <c r="J92" i="8" s="1"/>
  <c r="O96" i="8"/>
  <c r="I88" i="7"/>
  <c r="I100" i="7" s="1"/>
  <c r="E87" i="7"/>
  <c r="E99" i="7" s="1"/>
  <c r="O95" i="7"/>
  <c r="D81" i="6"/>
  <c r="C81" i="7"/>
  <c r="L82" i="7"/>
  <c r="L94" i="7" s="1"/>
  <c r="K86" i="6"/>
  <c r="K98" i="6" s="1"/>
  <c r="G82" i="6"/>
  <c r="G94" i="6" s="1"/>
  <c r="J81" i="7"/>
  <c r="J93" i="7" s="1"/>
  <c r="J87" i="7"/>
  <c r="J99" i="7" s="1"/>
  <c r="L80" i="7"/>
  <c r="L92" i="7" s="1"/>
  <c r="O99" i="22"/>
  <c r="G88" i="22"/>
  <c r="G100" i="22" s="1"/>
  <c r="L87" i="22"/>
  <c r="L99" i="22" s="1"/>
  <c r="C85" i="22"/>
  <c r="C97" i="22" s="1"/>
  <c r="G84" i="22"/>
  <c r="G96" i="22" s="1"/>
  <c r="L83" i="22"/>
  <c r="L95" i="22" s="1"/>
  <c r="C81" i="22"/>
  <c r="H80" i="22"/>
  <c r="H92" i="22" s="1"/>
  <c r="L79" i="22"/>
  <c r="F88" i="22"/>
  <c r="F100" i="22" s="1"/>
  <c r="J87" i="22"/>
  <c r="J99" i="22" s="1"/>
  <c r="F84" i="22"/>
  <c r="F96" i="22" s="1"/>
  <c r="K83" i="22"/>
  <c r="K95" i="22" s="1"/>
  <c r="G80" i="22"/>
  <c r="G92" i="22" s="1"/>
  <c r="K79" i="22"/>
  <c r="E88" i="22"/>
  <c r="E100" i="22" s="1"/>
  <c r="I87" i="22"/>
  <c r="I99" i="22" s="1"/>
  <c r="E84" i="22"/>
  <c r="E96" i="22" s="1"/>
  <c r="J83" i="22"/>
  <c r="J95" i="22" s="1"/>
  <c r="F80" i="22"/>
  <c r="F92" i="22" s="1"/>
  <c r="J79" i="22"/>
  <c r="D88" i="22"/>
  <c r="D100" i="22" s="1"/>
  <c r="H87" i="22"/>
  <c r="H99" i="22" s="1"/>
  <c r="D84" i="22"/>
  <c r="D96" i="22" s="1"/>
  <c r="I83" i="22"/>
  <c r="I95" i="22" s="1"/>
  <c r="E80" i="22"/>
  <c r="I79" i="22"/>
  <c r="C88" i="22"/>
  <c r="C100" i="22" s="1"/>
  <c r="G87" i="22"/>
  <c r="G99" i="22" s="1"/>
  <c r="L86" i="22"/>
  <c r="L98" i="22" s="1"/>
  <c r="C84" i="22"/>
  <c r="C96" i="22" s="1"/>
  <c r="H83" i="22"/>
  <c r="H95" i="22" s="1"/>
  <c r="L82" i="22"/>
  <c r="L94" i="22" s="1"/>
  <c r="C80" i="22"/>
  <c r="H79" i="22"/>
  <c r="F87" i="22"/>
  <c r="F99" i="22" s="1"/>
  <c r="K86" i="22"/>
  <c r="K98" i="22" s="1"/>
  <c r="F83" i="22"/>
  <c r="F95" i="22" s="1"/>
  <c r="K82" i="22"/>
  <c r="K94" i="22" s="1"/>
  <c r="G79" i="22"/>
  <c r="E87" i="22"/>
  <c r="E99" i="22" s="1"/>
  <c r="I86" i="22"/>
  <c r="I98" i="22" s="1"/>
  <c r="E83" i="22"/>
  <c r="E95" i="22" s="1"/>
  <c r="J82" i="22"/>
  <c r="J94" i="22" s="1"/>
  <c r="F79" i="22"/>
  <c r="D87" i="22"/>
  <c r="D99" i="22" s="1"/>
  <c r="H86" i="22"/>
  <c r="H98" i="22" s="1"/>
  <c r="D83" i="22"/>
  <c r="D95" i="22" s="1"/>
  <c r="I82" i="22"/>
  <c r="I94" i="22" s="1"/>
  <c r="E79" i="22"/>
  <c r="C87" i="22"/>
  <c r="C99" i="22" s="1"/>
  <c r="G86" i="22"/>
  <c r="G98" i="22" s="1"/>
  <c r="L85" i="22"/>
  <c r="L97" i="22" s="1"/>
  <c r="C83" i="22"/>
  <c r="C95" i="22" s="1"/>
  <c r="H82" i="22"/>
  <c r="H94" i="22" s="1"/>
  <c r="L81" i="22"/>
  <c r="L93" i="22" s="1"/>
  <c r="D79" i="22"/>
  <c r="F86" i="22"/>
  <c r="F98" i="22" s="1"/>
  <c r="K85" i="22"/>
  <c r="K97" i="22" s="1"/>
  <c r="G82" i="22"/>
  <c r="G94" i="22" s="1"/>
  <c r="K81" i="22"/>
  <c r="K93" i="22" s="1"/>
  <c r="E86" i="22"/>
  <c r="E98" i="22" s="1"/>
  <c r="J85" i="22"/>
  <c r="J97" i="22" s="1"/>
  <c r="E82" i="22"/>
  <c r="E94" i="22" s="1"/>
  <c r="J81" i="22"/>
  <c r="J93" i="22" s="1"/>
  <c r="D86" i="22"/>
  <c r="D98" i="22" s="1"/>
  <c r="H85" i="22"/>
  <c r="H97" i="22" s="1"/>
  <c r="D82" i="22"/>
  <c r="D94" i="22" s="1"/>
  <c r="I81" i="22"/>
  <c r="I93" i="22" s="1"/>
  <c r="K88" i="22"/>
  <c r="K100" i="22" s="1"/>
  <c r="C86" i="22"/>
  <c r="C98" i="22" s="1"/>
  <c r="G85" i="22"/>
  <c r="G97" i="22" s="1"/>
  <c r="J88" i="22"/>
  <c r="J100" i="22" s="1"/>
  <c r="F85" i="22"/>
  <c r="F97" i="22" s="1"/>
  <c r="C82" i="22"/>
  <c r="C94" i="22" s="1"/>
  <c r="E85" i="22"/>
  <c r="E97" i="22" s="1"/>
  <c r="D85" i="22"/>
  <c r="D97" i="22" s="1"/>
  <c r="L84" i="22"/>
  <c r="L96" i="22" s="1"/>
  <c r="H81" i="22"/>
  <c r="H93" i="22" s="1"/>
  <c r="K84" i="22"/>
  <c r="K96" i="22" s="1"/>
  <c r="G81" i="22"/>
  <c r="G93" i="22" s="1"/>
  <c r="J84" i="22"/>
  <c r="J96" i="22" s="1"/>
  <c r="F81" i="22"/>
  <c r="F93" i="22" s="1"/>
  <c r="I84" i="22"/>
  <c r="I96" i="22" s="1"/>
  <c r="D81" i="22"/>
  <c r="L80" i="22"/>
  <c r="L92" i="22" s="1"/>
  <c r="K80" i="22"/>
  <c r="K92" i="22" s="1"/>
  <c r="I88" i="22"/>
  <c r="I100" i="22" s="1"/>
  <c r="J80" i="22"/>
  <c r="J92" i="22" s="1"/>
  <c r="H88" i="22"/>
  <c r="H100" i="22" s="1"/>
  <c r="I80" i="22"/>
  <c r="I92" i="22" s="1"/>
  <c r="O98" i="21"/>
  <c r="H85" i="16"/>
  <c r="H97" i="16" s="1"/>
  <c r="K84" i="16"/>
  <c r="K96" i="16" s="1"/>
  <c r="E84" i="16"/>
  <c r="E96" i="16" s="1"/>
  <c r="E80" i="16"/>
  <c r="C88" i="16"/>
  <c r="C100" i="16" s="1"/>
  <c r="P85" i="16"/>
  <c r="O99" i="15"/>
  <c r="I80" i="14"/>
  <c r="I92" i="14" s="1"/>
  <c r="P85" i="14"/>
  <c r="O97" i="14" s="1"/>
  <c r="O99" i="14"/>
  <c r="E83" i="16"/>
  <c r="E95" i="16" s="1"/>
  <c r="P83" i="9"/>
  <c r="O95" i="9" s="1"/>
  <c r="F88" i="9"/>
  <c r="F100" i="9" s="1"/>
  <c r="J77" i="13"/>
  <c r="I77" i="13"/>
  <c r="H77" i="13"/>
  <c r="F77" i="13"/>
  <c r="C77" i="13"/>
  <c r="G77" i="13"/>
  <c r="E77" i="13"/>
  <c r="D77" i="13"/>
  <c r="K77" i="13"/>
  <c r="L77" i="13"/>
  <c r="K77" i="10"/>
  <c r="J77" i="10"/>
  <c r="I77" i="10"/>
  <c r="H77" i="10"/>
  <c r="G77" i="10"/>
  <c r="F77" i="10"/>
  <c r="E77" i="10"/>
  <c r="D77" i="10"/>
  <c r="C77" i="10"/>
  <c r="L77" i="10"/>
  <c r="D84" i="8"/>
  <c r="D96" i="8" s="1"/>
  <c r="H79" i="8"/>
  <c r="C87" i="8"/>
  <c r="C99" i="8" s="1"/>
  <c r="K88" i="8"/>
  <c r="K100" i="8" s="1"/>
  <c r="H87" i="7"/>
  <c r="H99" i="7" s="1"/>
  <c r="D86" i="7"/>
  <c r="D98" i="7" s="1"/>
  <c r="I80" i="6"/>
  <c r="I92" i="6" s="1"/>
  <c r="H80" i="7"/>
  <c r="H92" i="7" s="1"/>
  <c r="F77" i="5"/>
  <c r="E77" i="5"/>
  <c r="D77" i="5"/>
  <c r="C77" i="5"/>
  <c r="L77" i="5"/>
  <c r="K77" i="5"/>
  <c r="J77" i="5"/>
  <c r="I77" i="5"/>
  <c r="H77" i="5"/>
  <c r="G77" i="5"/>
  <c r="E84" i="6"/>
  <c r="E96" i="6" s="1"/>
  <c r="F83" i="6"/>
  <c r="F95" i="6" s="1"/>
  <c r="K81" i="6"/>
  <c r="K93" i="6" s="1"/>
  <c r="H86" i="7"/>
  <c r="H98" i="7" s="1"/>
  <c r="O95" i="6"/>
  <c r="O98" i="3"/>
  <c r="H81" i="7"/>
  <c r="H93" i="7" s="1"/>
  <c r="C85" i="7"/>
  <c r="C97" i="7" s="1"/>
  <c r="C92" i="19"/>
  <c r="O95" i="18"/>
  <c r="O96" i="16"/>
  <c r="C81" i="16"/>
  <c r="J83" i="16"/>
  <c r="J95" i="16" s="1"/>
  <c r="I79" i="16"/>
  <c r="G87" i="16"/>
  <c r="G99" i="16" s="1"/>
  <c r="O100" i="14"/>
  <c r="E86" i="16"/>
  <c r="E98" i="16" s="1"/>
  <c r="O95" i="14"/>
  <c r="G88" i="14"/>
  <c r="G100" i="14" s="1"/>
  <c r="D88" i="14"/>
  <c r="D100" i="14" s="1"/>
  <c r="I86" i="16"/>
  <c r="I98" i="16" s="1"/>
  <c r="J88" i="9"/>
  <c r="J100" i="9" s="1"/>
  <c r="O98" i="11"/>
  <c r="O96" i="11"/>
  <c r="C85" i="9"/>
  <c r="C97" i="9" s="1"/>
  <c r="J87" i="9"/>
  <c r="J99" i="9" s="1"/>
  <c r="D88" i="9"/>
  <c r="D100" i="9" s="1"/>
  <c r="D23" i="9"/>
  <c r="F79" i="9"/>
  <c r="E79" i="9"/>
  <c r="J85" i="9"/>
  <c r="J97" i="9" s="1"/>
  <c r="G79" i="9"/>
  <c r="D87" i="8"/>
  <c r="D99" i="8" s="1"/>
  <c r="O94" i="10"/>
  <c r="G86" i="8"/>
  <c r="G98" i="8" s="1"/>
  <c r="D86" i="8"/>
  <c r="D98" i="8" s="1"/>
  <c r="G88" i="8"/>
  <c r="G100" i="8" s="1"/>
  <c r="L85" i="9"/>
  <c r="L97" i="9" s="1"/>
  <c r="F84" i="8"/>
  <c r="F96" i="8" s="1"/>
  <c r="J83" i="6"/>
  <c r="J95" i="6" s="1"/>
  <c r="H79" i="7"/>
  <c r="K82" i="6"/>
  <c r="K94" i="6" s="1"/>
  <c r="E87" i="6"/>
  <c r="E99" i="6" s="1"/>
  <c r="D91" i="6"/>
  <c r="C83" i="7"/>
  <c r="C95" i="7" s="1"/>
  <c r="D86" i="6"/>
  <c r="D98" i="6" s="1"/>
  <c r="K85" i="7"/>
  <c r="K97" i="7" s="1"/>
  <c r="O97" i="3"/>
  <c r="E80" i="7"/>
  <c r="O99" i="5"/>
  <c r="H88" i="5"/>
  <c r="H100" i="5" s="1"/>
  <c r="D85" i="5"/>
  <c r="D97" i="5" s="1"/>
  <c r="I84" i="5"/>
  <c r="I96" i="5" s="1"/>
  <c r="D81" i="5"/>
  <c r="I80" i="5"/>
  <c r="I92" i="5" s="1"/>
  <c r="G88" i="5"/>
  <c r="G100" i="5" s="1"/>
  <c r="L87" i="5"/>
  <c r="L99" i="5" s="1"/>
  <c r="C85" i="5"/>
  <c r="C97" i="5" s="1"/>
  <c r="G84" i="5"/>
  <c r="G96" i="5" s="1"/>
  <c r="L83" i="5"/>
  <c r="L95" i="5" s="1"/>
  <c r="C81" i="5"/>
  <c r="H80" i="5"/>
  <c r="H92" i="5" s="1"/>
  <c r="L79" i="5"/>
  <c r="F88" i="5"/>
  <c r="F100" i="5" s="1"/>
  <c r="J87" i="5"/>
  <c r="J99" i="5" s="1"/>
  <c r="F84" i="5"/>
  <c r="F96" i="5" s="1"/>
  <c r="K83" i="5"/>
  <c r="K95" i="5" s="1"/>
  <c r="G80" i="5"/>
  <c r="G92" i="5" s="1"/>
  <c r="K79" i="5"/>
  <c r="E88" i="5"/>
  <c r="E100" i="5" s="1"/>
  <c r="I87" i="5"/>
  <c r="I99" i="5" s="1"/>
  <c r="E84" i="5"/>
  <c r="E96" i="5" s="1"/>
  <c r="J83" i="5"/>
  <c r="J95" i="5" s="1"/>
  <c r="F80" i="5"/>
  <c r="F92" i="5" s="1"/>
  <c r="J79" i="5"/>
  <c r="D88" i="5"/>
  <c r="D100" i="5" s="1"/>
  <c r="H87" i="5"/>
  <c r="H99" i="5" s="1"/>
  <c r="D84" i="5"/>
  <c r="D96" i="5" s="1"/>
  <c r="I83" i="5"/>
  <c r="I95" i="5" s="1"/>
  <c r="E80" i="5"/>
  <c r="I79" i="5"/>
  <c r="C88" i="5"/>
  <c r="C100" i="5" s="1"/>
  <c r="G87" i="5"/>
  <c r="G99" i="5" s="1"/>
  <c r="L86" i="5"/>
  <c r="L98" i="5" s="1"/>
  <c r="C84" i="5"/>
  <c r="C96" i="5" s="1"/>
  <c r="H83" i="5"/>
  <c r="H95" i="5" s="1"/>
  <c r="L82" i="5"/>
  <c r="L94" i="5" s="1"/>
  <c r="C80" i="5"/>
  <c r="H79" i="5"/>
  <c r="E87" i="5"/>
  <c r="E99" i="5" s="1"/>
  <c r="I86" i="5"/>
  <c r="I98" i="5" s="1"/>
  <c r="E83" i="5"/>
  <c r="E95" i="5" s="1"/>
  <c r="J82" i="5"/>
  <c r="J94" i="5" s="1"/>
  <c r="F79" i="5"/>
  <c r="D87" i="5"/>
  <c r="D99" i="5" s="1"/>
  <c r="H86" i="5"/>
  <c r="H98" i="5" s="1"/>
  <c r="D83" i="5"/>
  <c r="D95" i="5" s="1"/>
  <c r="I82" i="5"/>
  <c r="I94" i="5" s="1"/>
  <c r="E79" i="5"/>
  <c r="C87" i="5"/>
  <c r="C99" i="5" s="1"/>
  <c r="G86" i="5"/>
  <c r="G98" i="5" s="1"/>
  <c r="L85" i="5"/>
  <c r="L97" i="5" s="1"/>
  <c r="C83" i="5"/>
  <c r="C95" i="5" s="1"/>
  <c r="H82" i="5"/>
  <c r="H94" i="5" s="1"/>
  <c r="L81" i="5"/>
  <c r="L93" i="5" s="1"/>
  <c r="D79" i="5"/>
  <c r="F86" i="5"/>
  <c r="F98" i="5" s="1"/>
  <c r="K85" i="5"/>
  <c r="K97" i="5" s="1"/>
  <c r="G82" i="5"/>
  <c r="G94" i="5" s="1"/>
  <c r="K81" i="5"/>
  <c r="K93" i="5" s="1"/>
  <c r="E86" i="5"/>
  <c r="E98" i="5" s="1"/>
  <c r="J85" i="5"/>
  <c r="J97" i="5" s="1"/>
  <c r="E82" i="5"/>
  <c r="E94" i="5" s="1"/>
  <c r="J81" i="5"/>
  <c r="J93" i="5" s="1"/>
  <c r="D86" i="5"/>
  <c r="D98" i="5" s="1"/>
  <c r="H85" i="5"/>
  <c r="H97" i="5" s="1"/>
  <c r="D82" i="5"/>
  <c r="D94" i="5" s="1"/>
  <c r="I81" i="5"/>
  <c r="I93" i="5" s="1"/>
  <c r="K88" i="5"/>
  <c r="K100" i="5" s="1"/>
  <c r="C86" i="5"/>
  <c r="C98" i="5" s="1"/>
  <c r="G85" i="5"/>
  <c r="G97" i="5" s="1"/>
  <c r="L84" i="5"/>
  <c r="L96" i="5" s="1"/>
  <c r="C82" i="5"/>
  <c r="C94" i="5" s="1"/>
  <c r="H81" i="5"/>
  <c r="H93" i="5" s="1"/>
  <c r="L80" i="5"/>
  <c r="L92" i="5" s="1"/>
  <c r="J88" i="5"/>
  <c r="J100" i="5" s="1"/>
  <c r="F85" i="5"/>
  <c r="F97" i="5" s="1"/>
  <c r="K84" i="5"/>
  <c r="K96" i="5" s="1"/>
  <c r="G81" i="5"/>
  <c r="G93" i="5" s="1"/>
  <c r="K80" i="5"/>
  <c r="K92" i="5" s="1"/>
  <c r="F83" i="5"/>
  <c r="F95" i="5" s="1"/>
  <c r="K82" i="5"/>
  <c r="K94" i="5" s="1"/>
  <c r="I88" i="5"/>
  <c r="I100" i="5" s="1"/>
  <c r="J84" i="5"/>
  <c r="J96" i="5" s="1"/>
  <c r="F81" i="5"/>
  <c r="F93" i="5" s="1"/>
  <c r="F87" i="5"/>
  <c r="F99" i="5" s="1"/>
  <c r="J80" i="5"/>
  <c r="J92" i="5" s="1"/>
  <c r="K86" i="5"/>
  <c r="K98" i="5" s="1"/>
  <c r="G79" i="5"/>
  <c r="E85" i="5"/>
  <c r="E97" i="5" s="1"/>
  <c r="J88" i="7"/>
  <c r="J100" i="7" s="1"/>
  <c r="O98" i="4"/>
  <c r="M95" i="7" l="1"/>
  <c r="M100" i="15"/>
  <c r="M99" i="7"/>
  <c r="M97" i="9"/>
  <c r="M95" i="19"/>
  <c r="E92" i="8"/>
  <c r="E92" i="10"/>
  <c r="E92" i="21"/>
  <c r="E92" i="3"/>
  <c r="E92" i="4"/>
  <c r="D93" i="7"/>
  <c r="C93" i="21"/>
  <c r="D93" i="20"/>
  <c r="C93" i="12"/>
  <c r="C93" i="18"/>
  <c r="E92" i="18"/>
  <c r="C93" i="17"/>
  <c r="M100" i="16"/>
  <c r="C93" i="20"/>
  <c r="M96" i="9"/>
  <c r="C93" i="15"/>
  <c r="D93" i="19"/>
  <c r="E92" i="16"/>
  <c r="E92" i="11"/>
  <c r="C93" i="10"/>
  <c r="C93" i="8"/>
  <c r="E92" i="5"/>
  <c r="C93" i="5"/>
  <c r="D93" i="14"/>
  <c r="D93" i="18"/>
  <c r="E92" i="9"/>
  <c r="C93" i="13"/>
  <c r="E92" i="13"/>
  <c r="M97" i="12"/>
  <c r="D93" i="16"/>
  <c r="C93" i="19"/>
  <c r="E92" i="7"/>
  <c r="M92" i="7" s="1"/>
  <c r="E92" i="14"/>
  <c r="C93" i="14"/>
  <c r="M93" i="14" s="1"/>
  <c r="C93" i="4"/>
  <c r="M35" i="23" a="1"/>
  <c r="C93" i="11"/>
  <c r="M93" i="11" s="1"/>
  <c r="M100" i="6"/>
  <c r="E92" i="15"/>
  <c r="E92" i="20"/>
  <c r="C93" i="16"/>
  <c r="B87" i="23" a="1"/>
  <c r="M97" i="5"/>
  <c r="D93" i="21"/>
  <c r="C93" i="9"/>
  <c r="D93" i="12"/>
  <c r="D93" i="15"/>
  <c r="E92" i="6"/>
  <c r="M96" i="12"/>
  <c r="D93" i="3"/>
  <c r="D93" i="4"/>
  <c r="E92" i="19"/>
  <c r="D93" i="6"/>
  <c r="D93" i="10"/>
  <c r="D93" i="5"/>
  <c r="M95" i="11"/>
  <c r="D93" i="13"/>
  <c r="M92" i="16"/>
  <c r="E92" i="22"/>
  <c r="M92" i="19"/>
  <c r="C93" i="22"/>
  <c r="D93" i="17"/>
  <c r="D93" i="11"/>
  <c r="C93" i="3"/>
  <c r="D93" i="8"/>
  <c r="D93" i="22"/>
  <c r="E92" i="17"/>
  <c r="M100" i="7"/>
  <c r="E92" i="12"/>
  <c r="R44" i="23"/>
  <c r="V42" i="23"/>
  <c r="AR42" i="23" s="1"/>
  <c r="P41" i="23"/>
  <c r="T39" i="23"/>
  <c r="AP39" i="23" s="1"/>
  <c r="N38" i="23"/>
  <c r="R36" i="23"/>
  <c r="AN36" i="23" s="1"/>
  <c r="M35" i="23"/>
  <c r="Q44" i="23"/>
  <c r="U42" i="23"/>
  <c r="AQ42" i="23" s="1"/>
  <c r="O41" i="23"/>
  <c r="S39" i="23"/>
  <c r="AO39" i="23" s="1"/>
  <c r="M38" i="23"/>
  <c r="Q36" i="23"/>
  <c r="AM36" i="23" s="1"/>
  <c r="P44" i="23"/>
  <c r="T42" i="23"/>
  <c r="N41" i="23"/>
  <c r="R39" i="23"/>
  <c r="AN39" i="23" s="1"/>
  <c r="V37" i="23"/>
  <c r="AR37" i="23" s="1"/>
  <c r="P36" i="23"/>
  <c r="AL36" i="23" s="1"/>
  <c r="O44" i="23"/>
  <c r="S42" i="23"/>
  <c r="M41" i="23"/>
  <c r="Q39" i="23"/>
  <c r="U37" i="23"/>
  <c r="AQ37" i="23" s="1"/>
  <c r="O36" i="23"/>
  <c r="AK36" i="23" s="1"/>
  <c r="N44" i="23"/>
  <c r="R42" i="23"/>
  <c r="V40" i="23"/>
  <c r="AR40" i="23" s="1"/>
  <c r="P39" i="23"/>
  <c r="T37" i="23"/>
  <c r="AP37" i="23" s="1"/>
  <c r="N36" i="23"/>
  <c r="M44" i="23"/>
  <c r="Q42" i="23"/>
  <c r="U40" i="23"/>
  <c r="AQ40" i="23" s="1"/>
  <c r="O39" i="23"/>
  <c r="S37" i="23"/>
  <c r="AO37" i="23" s="1"/>
  <c r="M36" i="23"/>
  <c r="V43" i="23"/>
  <c r="AR43" i="23" s="1"/>
  <c r="P42" i="23"/>
  <c r="T40" i="23"/>
  <c r="AP40" i="23" s="1"/>
  <c r="N39" i="23"/>
  <c r="R37" i="23"/>
  <c r="AN37" i="23" s="1"/>
  <c r="V35" i="23"/>
  <c r="AR35" i="23" s="1"/>
  <c r="U43" i="23"/>
  <c r="O42" i="23"/>
  <c r="S40" i="23"/>
  <c r="AO40" i="23" s="1"/>
  <c r="M39" i="23"/>
  <c r="Q37" i="23"/>
  <c r="AM37" i="23" s="1"/>
  <c r="U35" i="23"/>
  <c r="AQ35" i="23" s="1"/>
  <c r="S43" i="23"/>
  <c r="M42" i="23"/>
  <c r="Q40" i="23"/>
  <c r="U38" i="23"/>
  <c r="AQ38" i="23" s="1"/>
  <c r="O37" i="23"/>
  <c r="S35" i="23"/>
  <c r="AO35" i="23" s="1"/>
  <c r="R43" i="23"/>
  <c r="V41" i="23"/>
  <c r="AR41" i="23" s="1"/>
  <c r="P40" i="23"/>
  <c r="T38" i="23"/>
  <c r="AP38" i="23" s="1"/>
  <c r="N37" i="23"/>
  <c r="R35" i="23"/>
  <c r="AN35" i="23" s="1"/>
  <c r="Q43" i="23"/>
  <c r="U41" i="23"/>
  <c r="AQ41" i="23" s="1"/>
  <c r="O40" i="23"/>
  <c r="S38" i="23"/>
  <c r="AO38" i="23" s="1"/>
  <c r="M37" i="23"/>
  <c r="Q35" i="23"/>
  <c r="AM35" i="23" s="1"/>
  <c r="T43" i="23"/>
  <c r="R38" i="23"/>
  <c r="AN38" i="23" s="1"/>
  <c r="P43" i="23"/>
  <c r="Q38" i="23"/>
  <c r="AM38" i="23" s="1"/>
  <c r="O43" i="23"/>
  <c r="P38" i="23"/>
  <c r="N43" i="23"/>
  <c r="O38" i="23"/>
  <c r="M43" i="23"/>
  <c r="P37" i="23"/>
  <c r="AL37" i="23" s="1"/>
  <c r="N42" i="23"/>
  <c r="V36" i="23"/>
  <c r="AR36" i="23" s="1"/>
  <c r="T41" i="23"/>
  <c r="AP41" i="23" s="1"/>
  <c r="U36" i="23"/>
  <c r="AQ36" i="23" s="1"/>
  <c r="S41" i="23"/>
  <c r="T36" i="23"/>
  <c r="AP36" i="23" s="1"/>
  <c r="R41" i="23"/>
  <c r="S36" i="23"/>
  <c r="AO36" i="23" s="1"/>
  <c r="Q41" i="23"/>
  <c r="T35" i="23"/>
  <c r="AP35" i="23" s="1"/>
  <c r="R40" i="23"/>
  <c r="P35" i="23"/>
  <c r="AL35" i="23" s="1"/>
  <c r="N40" i="23"/>
  <c r="O35" i="23"/>
  <c r="AK35" i="23" s="1"/>
  <c r="V44" i="23"/>
  <c r="M40" i="23"/>
  <c r="N35" i="23"/>
  <c r="AJ35" i="23" s="1"/>
  <c r="U44" i="23"/>
  <c r="V39" i="23"/>
  <c r="AR39" i="23" s="1"/>
  <c r="T44" i="23"/>
  <c r="S44" i="23"/>
  <c r="U39" i="23"/>
  <c r="AQ39" i="23" s="1"/>
  <c r="V38" i="23"/>
  <c r="AR38" i="23" s="1"/>
  <c r="K95" i="23"/>
  <c r="AG95" i="23" s="1"/>
  <c r="E94" i="23"/>
  <c r="I92" i="23"/>
  <c r="AE92" i="23" s="1"/>
  <c r="C91" i="23"/>
  <c r="G89" i="23"/>
  <c r="AC89" i="23" s="1"/>
  <c r="K87" i="23"/>
  <c r="AG87" i="23" s="1"/>
  <c r="J95" i="23"/>
  <c r="D94" i="23"/>
  <c r="H92" i="23"/>
  <c r="AD92" i="23" s="1"/>
  <c r="B91" i="23"/>
  <c r="F89" i="23"/>
  <c r="AB89" i="23" s="1"/>
  <c r="J87" i="23"/>
  <c r="AF87" i="23" s="1"/>
  <c r="I95" i="23"/>
  <c r="C94" i="23"/>
  <c r="G92" i="23"/>
  <c r="K90" i="23"/>
  <c r="AG90" i="23" s="1"/>
  <c r="E89" i="23"/>
  <c r="AA89" i="23" s="1"/>
  <c r="I87" i="23"/>
  <c r="AE87" i="23" s="1"/>
  <c r="H95" i="23"/>
  <c r="B94" i="23"/>
  <c r="F92" i="23"/>
  <c r="J90" i="23"/>
  <c r="AF90" i="23" s="1"/>
  <c r="D89" i="23"/>
  <c r="H87" i="23"/>
  <c r="AD87" i="23" s="1"/>
  <c r="G95" i="23"/>
  <c r="K93" i="23"/>
  <c r="AG93" i="23" s="1"/>
  <c r="E92" i="23"/>
  <c r="I90" i="23"/>
  <c r="AE90" i="23" s="1"/>
  <c r="C89" i="23"/>
  <c r="G87" i="23"/>
  <c r="AC87" i="23" s="1"/>
  <c r="F95" i="23"/>
  <c r="J93" i="23"/>
  <c r="AF93" i="23" s="1"/>
  <c r="D92" i="23"/>
  <c r="H90" i="23"/>
  <c r="AD90" i="23" s="1"/>
  <c r="B89" i="23"/>
  <c r="F87" i="23"/>
  <c r="AB87" i="23" s="1"/>
  <c r="K96" i="23"/>
  <c r="E95" i="23"/>
  <c r="I93" i="23"/>
  <c r="AE93" i="23" s="1"/>
  <c r="C92" i="23"/>
  <c r="G90" i="23"/>
  <c r="AC90" i="23" s="1"/>
  <c r="K88" i="23"/>
  <c r="AG88" i="23" s="1"/>
  <c r="E87" i="23"/>
  <c r="AA87" i="23" s="1"/>
  <c r="J96" i="23"/>
  <c r="D95" i="23"/>
  <c r="H93" i="23"/>
  <c r="B92" i="23"/>
  <c r="F90" i="23"/>
  <c r="AB90" i="23" s="1"/>
  <c r="J88" i="23"/>
  <c r="AF88" i="23" s="1"/>
  <c r="D87" i="23"/>
  <c r="Z87" i="23" s="1"/>
  <c r="I96" i="23"/>
  <c r="C95" i="23"/>
  <c r="G93" i="23"/>
  <c r="K91" i="23"/>
  <c r="AG91" i="23" s="1"/>
  <c r="E90" i="23"/>
  <c r="I88" i="23"/>
  <c r="AE88" i="23" s="1"/>
  <c r="C87" i="23"/>
  <c r="Y87" i="23" s="1"/>
  <c r="H96" i="23"/>
  <c r="B95" i="23"/>
  <c r="F93" i="23"/>
  <c r="J91" i="23"/>
  <c r="AF91" i="23" s="1"/>
  <c r="D90" i="23"/>
  <c r="H88" i="23"/>
  <c r="AD88" i="23" s="1"/>
  <c r="G96" i="23"/>
  <c r="K94" i="23"/>
  <c r="AG94" i="23" s="1"/>
  <c r="E93" i="23"/>
  <c r="I91" i="23"/>
  <c r="AE91" i="23" s="1"/>
  <c r="C90" i="23"/>
  <c r="G88" i="23"/>
  <c r="AC88" i="23" s="1"/>
  <c r="B87" i="23"/>
  <c r="F96" i="23"/>
  <c r="J94" i="23"/>
  <c r="AF94" i="23" s="1"/>
  <c r="D93" i="23"/>
  <c r="H91" i="23"/>
  <c r="AD91" i="23" s="1"/>
  <c r="B90" i="23"/>
  <c r="F88" i="23"/>
  <c r="AB88" i="23" s="1"/>
  <c r="E96" i="23"/>
  <c r="I94" i="23"/>
  <c r="C93" i="23"/>
  <c r="G91" i="23"/>
  <c r="AC91" i="23" s="1"/>
  <c r="K89" i="23"/>
  <c r="AG89" i="23" s="1"/>
  <c r="E88" i="23"/>
  <c r="AA88" i="23" s="1"/>
  <c r="D96" i="23"/>
  <c r="H94" i="23"/>
  <c r="B93" i="23"/>
  <c r="F91" i="23"/>
  <c r="J89" i="23"/>
  <c r="AF89" i="23" s="1"/>
  <c r="D88" i="23"/>
  <c r="Z88" i="23" s="1"/>
  <c r="B96" i="23"/>
  <c r="G94" i="23"/>
  <c r="F94" i="23"/>
  <c r="K92" i="23"/>
  <c r="AG92" i="23" s="1"/>
  <c r="J92" i="23"/>
  <c r="AF92" i="23" s="1"/>
  <c r="E91" i="23"/>
  <c r="D91" i="23"/>
  <c r="I89" i="23"/>
  <c r="AE89" i="23" s="1"/>
  <c r="H89" i="23"/>
  <c r="AD89" i="23" s="1"/>
  <c r="C88" i="23"/>
  <c r="B88" i="23"/>
  <c r="C96" i="23"/>
  <c r="N122" i="23"/>
  <c r="R120" i="23"/>
  <c r="V118" i="23"/>
  <c r="AR118" i="23" s="1"/>
  <c r="P117" i="23"/>
  <c r="T115" i="23"/>
  <c r="AP115" i="23" s="1"/>
  <c r="N114" i="23"/>
  <c r="M122" i="23"/>
  <c r="Q120" i="23"/>
  <c r="U118" i="23"/>
  <c r="AQ118" i="23" s="1"/>
  <c r="O117" i="23"/>
  <c r="S115" i="23"/>
  <c r="AO115" i="23" s="1"/>
  <c r="M114" i="23"/>
  <c r="V121" i="23"/>
  <c r="AR121" i="23" s="1"/>
  <c r="P120" i="23"/>
  <c r="T118" i="23"/>
  <c r="AP118" i="23" s="1"/>
  <c r="N117" i="23"/>
  <c r="R115" i="23"/>
  <c r="AN115" i="23" s="1"/>
  <c r="V113" i="23"/>
  <c r="AR113" i="23" s="1"/>
  <c r="U121" i="23"/>
  <c r="O120" i="23"/>
  <c r="S118" i="23"/>
  <c r="AO118" i="23" s="1"/>
  <c r="M117" i="23"/>
  <c r="Q115" i="23"/>
  <c r="AM115" i="23" s="1"/>
  <c r="U113" i="23"/>
  <c r="AQ113" i="23" s="1"/>
  <c r="T121" i="23"/>
  <c r="N120" i="23"/>
  <c r="R118" i="23"/>
  <c r="V116" i="23"/>
  <c r="AR116" i="23" s="1"/>
  <c r="P115" i="23"/>
  <c r="AL115" i="23" s="1"/>
  <c r="T113" i="23"/>
  <c r="AP113" i="23" s="1"/>
  <c r="S121" i="23"/>
  <c r="M120" i="23"/>
  <c r="Q118" i="23"/>
  <c r="U116" i="23"/>
  <c r="AQ116" i="23" s="1"/>
  <c r="O115" i="23"/>
  <c r="S113" i="23"/>
  <c r="AO113" i="23" s="1"/>
  <c r="R121" i="23"/>
  <c r="V119" i="23"/>
  <c r="AR119" i="23" s="1"/>
  <c r="P118" i="23"/>
  <c r="T116" i="23"/>
  <c r="AP116" i="23" s="1"/>
  <c r="N115" i="23"/>
  <c r="R113" i="23"/>
  <c r="AN113" i="23" s="1"/>
  <c r="Q121" i="23"/>
  <c r="U119" i="23"/>
  <c r="AQ119" i="23" s="1"/>
  <c r="O118" i="23"/>
  <c r="S116" i="23"/>
  <c r="AO116" i="23" s="1"/>
  <c r="M115" i="23"/>
  <c r="Q113" i="23"/>
  <c r="AM113" i="23" s="1"/>
  <c r="V122" i="23"/>
  <c r="P121" i="23"/>
  <c r="T119" i="23"/>
  <c r="AP119" i="23" s="1"/>
  <c r="N118" i="23"/>
  <c r="R116" i="23"/>
  <c r="AN116" i="23" s="1"/>
  <c r="V114" i="23"/>
  <c r="AR114" i="23" s="1"/>
  <c r="P113" i="23"/>
  <c r="AL113" i="23" s="1"/>
  <c r="U122" i="23"/>
  <c r="O121" i="23"/>
  <c r="S119" i="23"/>
  <c r="M118" i="23"/>
  <c r="Q116" i="23"/>
  <c r="AM116" i="23" s="1"/>
  <c r="U114" i="23"/>
  <c r="AQ114" i="23" s="1"/>
  <c r="O113" i="23"/>
  <c r="AK113" i="23" s="1"/>
  <c r="T122" i="23"/>
  <c r="N121" i="23"/>
  <c r="R119" i="23"/>
  <c r="V117" i="23"/>
  <c r="AR117" i="23" s="1"/>
  <c r="P116" i="23"/>
  <c r="T114" i="23"/>
  <c r="AP114" i="23" s="1"/>
  <c r="N113" i="23"/>
  <c r="AJ113" i="23" s="1"/>
  <c r="S122" i="23"/>
  <c r="M121" i="23"/>
  <c r="Q119" i="23"/>
  <c r="U117" i="23"/>
  <c r="AQ117" i="23" s="1"/>
  <c r="O116" i="23"/>
  <c r="S114" i="23"/>
  <c r="AO114" i="23" s="1"/>
  <c r="Q122" i="23"/>
  <c r="U120" i="23"/>
  <c r="AQ120" i="23" s="1"/>
  <c r="O119" i="23"/>
  <c r="S117" i="23"/>
  <c r="AO117" i="23" s="1"/>
  <c r="M116" i="23"/>
  <c r="Q114" i="23"/>
  <c r="AM114" i="23" s="1"/>
  <c r="P119" i="23"/>
  <c r="N119" i="23"/>
  <c r="M119" i="23"/>
  <c r="T117" i="23"/>
  <c r="AP117" i="23" s="1"/>
  <c r="R117" i="23"/>
  <c r="AN117" i="23" s="1"/>
  <c r="Q117" i="23"/>
  <c r="N116" i="23"/>
  <c r="V115" i="23"/>
  <c r="AR115" i="23" s="1"/>
  <c r="U115" i="23"/>
  <c r="AQ115" i="23" s="1"/>
  <c r="R114" i="23"/>
  <c r="AN114" i="23" s="1"/>
  <c r="R122" i="23"/>
  <c r="P114" i="23"/>
  <c r="AL114" i="23" s="1"/>
  <c r="P122" i="23"/>
  <c r="O114" i="23"/>
  <c r="AK114" i="23" s="1"/>
  <c r="O122" i="23"/>
  <c r="M113" i="23"/>
  <c r="V120" i="23"/>
  <c r="AR120" i="23" s="1"/>
  <c r="T120" i="23"/>
  <c r="S120" i="23"/>
  <c r="H89" i="17"/>
  <c r="H91" i="17"/>
  <c r="F91" i="6"/>
  <c r="F89" i="6"/>
  <c r="F91" i="20"/>
  <c r="F89" i="20"/>
  <c r="J91" i="16"/>
  <c r="J89" i="16"/>
  <c r="H91" i="5"/>
  <c r="H89" i="5"/>
  <c r="C89" i="19"/>
  <c r="F89" i="11"/>
  <c r="F91" i="11"/>
  <c r="L89" i="18"/>
  <c r="L91" i="18"/>
  <c r="K91" i="18"/>
  <c r="K89" i="18"/>
  <c r="M95" i="17"/>
  <c r="C92" i="17"/>
  <c r="C89" i="17"/>
  <c r="M98" i="17"/>
  <c r="L91" i="6"/>
  <c r="L89" i="6"/>
  <c r="J91" i="10"/>
  <c r="J89" i="10"/>
  <c r="C89" i="14"/>
  <c r="G89" i="21"/>
  <c r="G91" i="21"/>
  <c r="L91" i="21"/>
  <c r="L89" i="21"/>
  <c r="H89" i="19"/>
  <c r="H91" i="19"/>
  <c r="M74" i="23" a="1"/>
  <c r="D89" i="13"/>
  <c r="D91" i="13"/>
  <c r="M99" i="13"/>
  <c r="M100" i="20"/>
  <c r="D89" i="19"/>
  <c r="F91" i="3"/>
  <c r="F89" i="3"/>
  <c r="B22" i="23" a="1"/>
  <c r="D91" i="4"/>
  <c r="D89" i="4"/>
  <c r="L91" i="4"/>
  <c r="L89" i="4"/>
  <c r="M95" i="4"/>
  <c r="I89" i="8"/>
  <c r="G89" i="15"/>
  <c r="G91" i="15"/>
  <c r="M94" i="15"/>
  <c r="M98" i="8"/>
  <c r="F89" i="17"/>
  <c r="F91" i="17"/>
  <c r="I89" i="20"/>
  <c r="I91" i="20"/>
  <c r="M96" i="3"/>
  <c r="M95" i="8"/>
  <c r="M87" i="23" a="1"/>
  <c r="D89" i="15"/>
  <c r="D91" i="15"/>
  <c r="M95" i="5"/>
  <c r="M96" i="22"/>
  <c r="K91" i="22"/>
  <c r="K89" i="22"/>
  <c r="M96" i="11"/>
  <c r="K91" i="11"/>
  <c r="K89" i="11"/>
  <c r="M94" i="18"/>
  <c r="H91" i="18"/>
  <c r="H89" i="18"/>
  <c r="H89" i="10"/>
  <c r="H91" i="10"/>
  <c r="J91" i="14"/>
  <c r="J89" i="14"/>
  <c r="M95" i="21"/>
  <c r="M93" i="21"/>
  <c r="I91" i="9"/>
  <c r="I89" i="9"/>
  <c r="M97" i="16"/>
  <c r="E89" i="13"/>
  <c r="E91" i="13"/>
  <c r="M100" i="13"/>
  <c r="M94" i="20"/>
  <c r="M94" i="3"/>
  <c r="J91" i="9"/>
  <c r="J89" i="9"/>
  <c r="M97" i="4"/>
  <c r="D89" i="7"/>
  <c r="L91" i="19"/>
  <c r="L89" i="19"/>
  <c r="M94" i="11"/>
  <c r="M99" i="14"/>
  <c r="D89" i="6"/>
  <c r="G89" i="9"/>
  <c r="G91" i="9"/>
  <c r="E91" i="18"/>
  <c r="E89" i="18"/>
  <c r="C92" i="18"/>
  <c r="M92" i="18" s="1"/>
  <c r="C89" i="18"/>
  <c r="E89" i="17"/>
  <c r="E91" i="17"/>
  <c r="M96" i="17"/>
  <c r="K91" i="17"/>
  <c r="K89" i="17"/>
  <c r="C92" i="10"/>
  <c r="M92" i="10" s="1"/>
  <c r="C89" i="10"/>
  <c r="K91" i="14"/>
  <c r="K89" i="14"/>
  <c r="I91" i="13"/>
  <c r="I89" i="13"/>
  <c r="M94" i="14"/>
  <c r="B126" i="23" a="1"/>
  <c r="D91" i="20"/>
  <c r="D89" i="20"/>
  <c r="L91" i="20"/>
  <c r="L89" i="20"/>
  <c r="M98" i="9"/>
  <c r="I89" i="4"/>
  <c r="I91" i="4"/>
  <c r="M99" i="4"/>
  <c r="B74" i="23" a="1"/>
  <c r="D91" i="12"/>
  <c r="D89" i="12"/>
  <c r="E89" i="12"/>
  <c r="E91" i="12"/>
  <c r="E89" i="15"/>
  <c r="E91" i="15"/>
  <c r="J91" i="15"/>
  <c r="J89" i="15"/>
  <c r="M98" i="15"/>
  <c r="M98" i="6"/>
  <c r="M100" i="14"/>
  <c r="G91" i="8"/>
  <c r="G89" i="8"/>
  <c r="J91" i="19"/>
  <c r="J89" i="19"/>
  <c r="I89" i="19"/>
  <c r="I91" i="19"/>
  <c r="M22" i="23" a="1"/>
  <c r="D89" i="5"/>
  <c r="D91" i="5"/>
  <c r="M95" i="18"/>
  <c r="K91" i="16"/>
  <c r="K89" i="16"/>
  <c r="M97" i="7"/>
  <c r="F91" i="22"/>
  <c r="F89" i="22"/>
  <c r="C89" i="8"/>
  <c r="E91" i="11"/>
  <c r="E89" i="11"/>
  <c r="M98" i="11"/>
  <c r="M95" i="10"/>
  <c r="J89" i="21"/>
  <c r="J91" i="21"/>
  <c r="C93" i="6"/>
  <c r="C89" i="6"/>
  <c r="H89" i="13"/>
  <c r="H91" i="13"/>
  <c r="M95" i="13"/>
  <c r="G91" i="20"/>
  <c r="G89" i="20"/>
  <c r="M9" i="23" a="1"/>
  <c r="D91" i="3"/>
  <c r="D89" i="3"/>
  <c r="M100" i="3"/>
  <c r="E91" i="4"/>
  <c r="E89" i="4"/>
  <c r="M100" i="12"/>
  <c r="L91" i="15"/>
  <c r="L89" i="15"/>
  <c r="M99" i="9"/>
  <c r="F91" i="7"/>
  <c r="F89" i="7"/>
  <c r="E91" i="22"/>
  <c r="E89" i="22"/>
  <c r="M98" i="5"/>
  <c r="M97" i="10"/>
  <c r="I89" i="21"/>
  <c r="I91" i="21"/>
  <c r="K91" i="12"/>
  <c r="K89" i="12"/>
  <c r="M97" i="19"/>
  <c r="K91" i="5"/>
  <c r="K89" i="5"/>
  <c r="E89" i="9"/>
  <c r="E91" i="9"/>
  <c r="M48" i="23" a="1"/>
  <c r="M100" i="22"/>
  <c r="M92" i="8"/>
  <c r="M100" i="11"/>
  <c r="M98" i="18"/>
  <c r="M99" i="17"/>
  <c r="M99" i="19"/>
  <c r="M94" i="10"/>
  <c r="M97" i="21"/>
  <c r="D89" i="14"/>
  <c r="M96" i="7"/>
  <c r="K91" i="9"/>
  <c r="K89" i="9"/>
  <c r="M98" i="20"/>
  <c r="M93" i="20"/>
  <c r="M98" i="3"/>
  <c r="M97" i="3"/>
  <c r="I91" i="3"/>
  <c r="I89" i="3"/>
  <c r="M95" i="14"/>
  <c r="M98" i="4"/>
  <c r="O97" i="16"/>
  <c r="M100" i="8"/>
  <c r="I89" i="12"/>
  <c r="I91" i="12"/>
  <c r="M95" i="15"/>
  <c r="H91" i="15"/>
  <c r="H89" i="15"/>
  <c r="M97" i="14"/>
  <c r="C89" i="22"/>
  <c r="C92" i="22"/>
  <c r="M92" i="22" s="1"/>
  <c r="J91" i="18"/>
  <c r="J89" i="18"/>
  <c r="K91" i="3"/>
  <c r="K89" i="3"/>
  <c r="O95" i="16"/>
  <c r="B35" i="23" a="1"/>
  <c r="F89" i="9"/>
  <c r="F91" i="9"/>
  <c r="M94" i="22"/>
  <c r="I91" i="22"/>
  <c r="I89" i="22"/>
  <c r="I89" i="11"/>
  <c r="I91" i="11"/>
  <c r="M96" i="18"/>
  <c r="M100" i="17"/>
  <c r="M96" i="10"/>
  <c r="K91" i="10"/>
  <c r="K89" i="10"/>
  <c r="O99" i="9"/>
  <c r="F89" i="13"/>
  <c r="F91" i="13"/>
  <c r="M95" i="20"/>
  <c r="G89" i="14"/>
  <c r="G91" i="14"/>
  <c r="F91" i="4"/>
  <c r="F89" i="4"/>
  <c r="M96" i="4"/>
  <c r="J91" i="6"/>
  <c r="J89" i="6"/>
  <c r="F89" i="12"/>
  <c r="F91" i="12"/>
  <c r="M99" i="15"/>
  <c r="C92" i="15"/>
  <c r="M92" i="15" s="1"/>
  <c r="C89" i="15"/>
  <c r="H91" i="6"/>
  <c r="H89" i="6"/>
  <c r="C89" i="4"/>
  <c r="C92" i="4"/>
  <c r="M92" i="4" s="1"/>
  <c r="C89" i="5"/>
  <c r="C92" i="5"/>
  <c r="M92" i="5" s="1"/>
  <c r="B61" i="23" a="1"/>
  <c r="D91" i="10"/>
  <c r="D89" i="10"/>
  <c r="E91" i="8"/>
  <c r="E89" i="8"/>
  <c r="I91" i="6"/>
  <c r="I89" i="6"/>
  <c r="M100" i="19"/>
  <c r="M96" i="5"/>
  <c r="M99" i="5"/>
  <c r="E91" i="5"/>
  <c r="E89" i="5"/>
  <c r="M100" i="5"/>
  <c r="H89" i="7"/>
  <c r="H91" i="7"/>
  <c r="I89" i="17"/>
  <c r="I91" i="17"/>
  <c r="H89" i="9"/>
  <c r="H91" i="9"/>
  <c r="H89" i="14"/>
  <c r="H91" i="14"/>
  <c r="M99" i="10"/>
  <c r="C89" i="9"/>
  <c r="J91" i="13"/>
  <c r="J89" i="13"/>
  <c r="M96" i="13"/>
  <c r="H89" i="16"/>
  <c r="H91" i="16"/>
  <c r="J91" i="20"/>
  <c r="J89" i="20"/>
  <c r="M95" i="3"/>
  <c r="G91" i="3"/>
  <c r="G89" i="3"/>
  <c r="M96" i="14"/>
  <c r="J91" i="4"/>
  <c r="J89" i="4"/>
  <c r="L91" i="12"/>
  <c r="L89" i="12"/>
  <c r="M100" i="21"/>
  <c r="I89" i="5"/>
  <c r="I91" i="5"/>
  <c r="B139" i="23" a="1"/>
  <c r="D91" i="22"/>
  <c r="D89" i="22"/>
  <c r="L91" i="22"/>
  <c r="L89" i="22"/>
  <c r="C93" i="7"/>
  <c r="M93" i="7" s="1"/>
  <c r="C89" i="7"/>
  <c r="L91" i="11"/>
  <c r="L89" i="11"/>
  <c r="M97" i="18"/>
  <c r="M99" i="18"/>
  <c r="F89" i="18"/>
  <c r="F91" i="18"/>
  <c r="F89" i="10"/>
  <c r="F91" i="10"/>
  <c r="M98" i="10"/>
  <c r="M92" i="9"/>
  <c r="M98" i="7"/>
  <c r="M97" i="20"/>
  <c r="M93" i="8"/>
  <c r="M95" i="16"/>
  <c r="M99" i="6"/>
  <c r="G89" i="12"/>
  <c r="G91" i="12"/>
  <c r="M99" i="16"/>
  <c r="M100" i="9"/>
  <c r="G91" i="6"/>
  <c r="G89" i="6"/>
  <c r="F89" i="14"/>
  <c r="F91" i="14"/>
  <c r="M92" i="14"/>
  <c r="L89" i="7"/>
  <c r="I89" i="16"/>
  <c r="I91" i="16"/>
  <c r="G91" i="22"/>
  <c r="G89" i="22"/>
  <c r="G89" i="11"/>
  <c r="G91" i="11"/>
  <c r="M100" i="18"/>
  <c r="L91" i="17"/>
  <c r="L89" i="17"/>
  <c r="K91" i="6"/>
  <c r="K89" i="6"/>
  <c r="E89" i="10"/>
  <c r="E91" i="10"/>
  <c r="M100" i="10"/>
  <c r="M94" i="21"/>
  <c r="I89" i="14"/>
  <c r="I91" i="14"/>
  <c r="M97" i="13"/>
  <c r="M94" i="13"/>
  <c r="M99" i="20"/>
  <c r="H91" i="20"/>
  <c r="H89" i="20"/>
  <c r="C89" i="16"/>
  <c r="J91" i="8"/>
  <c r="J89" i="8"/>
  <c r="D93" i="9"/>
  <c r="M93" i="9" s="1"/>
  <c r="D89" i="9"/>
  <c r="M100" i="4"/>
  <c r="E89" i="7"/>
  <c r="E91" i="7"/>
  <c r="M95" i="12"/>
  <c r="M93" i="12"/>
  <c r="M96" i="15"/>
  <c r="K91" i="15"/>
  <c r="K89" i="15"/>
  <c r="L91" i="16"/>
  <c r="L89" i="16"/>
  <c r="M96" i="6"/>
  <c r="M96" i="19"/>
  <c r="C92" i="11"/>
  <c r="M92" i="11" s="1"/>
  <c r="C89" i="11"/>
  <c r="I91" i="18"/>
  <c r="I89" i="18"/>
  <c r="H89" i="21"/>
  <c r="H91" i="21"/>
  <c r="L91" i="9"/>
  <c r="L89" i="9"/>
  <c r="M99" i="3"/>
  <c r="M94" i="8"/>
  <c r="G89" i="4"/>
  <c r="G91" i="4"/>
  <c r="M98" i="14"/>
  <c r="M93" i="15"/>
  <c r="M96" i="16"/>
  <c r="O94" i="17"/>
  <c r="L91" i="5"/>
  <c r="L89" i="5"/>
  <c r="G89" i="17"/>
  <c r="G91" i="17"/>
  <c r="I89" i="10"/>
  <c r="I91" i="10"/>
  <c r="E89" i="16"/>
  <c r="E91" i="16"/>
  <c r="K91" i="13"/>
  <c r="K89" i="13"/>
  <c r="E91" i="20"/>
  <c r="E89" i="20"/>
  <c r="C89" i="20"/>
  <c r="C92" i="20"/>
  <c r="M92" i="20" s="1"/>
  <c r="I91" i="7"/>
  <c r="I89" i="7"/>
  <c r="M94" i="4"/>
  <c r="F91" i="5"/>
  <c r="F89" i="5"/>
  <c r="M93" i="16"/>
  <c r="M95" i="22"/>
  <c r="M93" i="18"/>
  <c r="M93" i="17"/>
  <c r="G89" i="7"/>
  <c r="G91" i="7"/>
  <c r="E89" i="14"/>
  <c r="E91" i="14"/>
  <c r="M94" i="9"/>
  <c r="E91" i="21"/>
  <c r="E89" i="21"/>
  <c r="C92" i="21"/>
  <c r="M92" i="21" s="1"/>
  <c r="C89" i="21"/>
  <c r="L89" i="8"/>
  <c r="L91" i="8"/>
  <c r="M95" i="9"/>
  <c r="G89" i="13"/>
  <c r="G91" i="13"/>
  <c r="E91" i="3"/>
  <c r="E89" i="3"/>
  <c r="J91" i="3"/>
  <c r="J89" i="3"/>
  <c r="M97" i="8"/>
  <c r="J91" i="12"/>
  <c r="J89" i="12"/>
  <c r="M94" i="12"/>
  <c r="F89" i="15"/>
  <c r="F91" i="15"/>
  <c r="G91" i="19"/>
  <c r="G89" i="19"/>
  <c r="B100" i="23" a="1"/>
  <c r="M96" i="8"/>
  <c r="M126" i="23" a="1"/>
  <c r="D91" i="21"/>
  <c r="D89" i="21"/>
  <c r="M99" i="11"/>
  <c r="J89" i="11"/>
  <c r="J91" i="11"/>
  <c r="L91" i="10"/>
  <c r="L89" i="10"/>
  <c r="M99" i="21"/>
  <c r="M98" i="21"/>
  <c r="L91" i="14"/>
  <c r="L89" i="14"/>
  <c r="K91" i="19"/>
  <c r="K89" i="19"/>
  <c r="M98" i="13"/>
  <c r="D89" i="8"/>
  <c r="K91" i="4"/>
  <c r="K89" i="4"/>
  <c r="M97" i="6"/>
  <c r="M94" i="6"/>
  <c r="M94" i="7"/>
  <c r="M98" i="19"/>
  <c r="M98" i="22"/>
  <c r="K91" i="21"/>
  <c r="K89" i="21"/>
  <c r="J91" i="22"/>
  <c r="J89" i="22"/>
  <c r="B113" i="23" a="1"/>
  <c r="D91" i="18"/>
  <c r="D89" i="18"/>
  <c r="M95" i="6"/>
  <c r="M99" i="8"/>
  <c r="M97" i="22"/>
  <c r="M97" i="11"/>
  <c r="D89" i="16"/>
  <c r="G91" i="18"/>
  <c r="G89" i="18"/>
  <c r="J91" i="17"/>
  <c r="J89" i="17"/>
  <c r="M94" i="17"/>
  <c r="G89" i="10"/>
  <c r="G91" i="10"/>
  <c r="F89" i="21"/>
  <c r="F91" i="21"/>
  <c r="E89" i="6"/>
  <c r="E91" i="6"/>
  <c r="L91" i="13"/>
  <c r="L89" i="13"/>
  <c r="M96" i="20"/>
  <c r="K91" i="20"/>
  <c r="K89" i="20"/>
  <c r="M94" i="16"/>
  <c r="H91" i="3"/>
  <c r="H89" i="3"/>
  <c r="M92" i="6"/>
  <c r="F89" i="16"/>
  <c r="F91" i="16"/>
  <c r="H89" i="12"/>
  <c r="H91" i="12"/>
  <c r="M97" i="15"/>
  <c r="I91" i="15"/>
  <c r="I89" i="15"/>
  <c r="K89" i="7"/>
  <c r="M94" i="19"/>
  <c r="K89" i="8"/>
  <c r="G91" i="5"/>
  <c r="G89" i="5"/>
  <c r="M94" i="5"/>
  <c r="J91" i="5"/>
  <c r="J89" i="5"/>
  <c r="H91" i="8"/>
  <c r="H89" i="8"/>
  <c r="M99" i="22"/>
  <c r="H91" i="22"/>
  <c r="H89" i="22"/>
  <c r="M61" i="23" a="1"/>
  <c r="D91" i="11"/>
  <c r="D89" i="11"/>
  <c r="H89" i="11"/>
  <c r="H91" i="11"/>
  <c r="M100" i="23" a="1"/>
  <c r="D91" i="17"/>
  <c r="D89" i="17"/>
  <c r="M97" i="17"/>
  <c r="M93" i="10"/>
  <c r="M96" i="21"/>
  <c r="J91" i="7"/>
  <c r="J89" i="7"/>
  <c r="F91" i="8"/>
  <c r="F89" i="8"/>
  <c r="F91" i="19"/>
  <c r="F89" i="19"/>
  <c r="C92" i="13"/>
  <c r="M92" i="13" s="1"/>
  <c r="C89" i="13"/>
  <c r="B48" i="23" a="1"/>
  <c r="O99" i="17"/>
  <c r="L91" i="3"/>
  <c r="L89" i="3"/>
  <c r="C89" i="3"/>
  <c r="C92" i="3"/>
  <c r="M92" i="3" s="1"/>
  <c r="G89" i="16"/>
  <c r="G91" i="16"/>
  <c r="H89" i="4"/>
  <c r="H91" i="4"/>
  <c r="M99" i="12"/>
  <c r="C92" i="12"/>
  <c r="M92" i="12" s="1"/>
  <c r="C89" i="12"/>
  <c r="M98" i="12"/>
  <c r="M98" i="16"/>
  <c r="E91" i="19"/>
  <c r="E89" i="19"/>
  <c r="M93" i="3" l="1"/>
  <c r="M93" i="6"/>
  <c r="M93" i="13"/>
  <c r="M93" i="4"/>
  <c r="M93" i="19"/>
  <c r="M91" i="16"/>
  <c r="M101" i="16" s="1"/>
  <c r="M91" i="7"/>
  <c r="M101" i="7" s="1"/>
  <c r="N92" i="7" s="1"/>
  <c r="M91" i="19"/>
  <c r="M91" i="6"/>
  <c r="M91" i="8"/>
  <c r="M101" i="8" s="1"/>
  <c r="M92" i="17"/>
  <c r="M91" i="14"/>
  <c r="M93" i="22"/>
  <c r="M93" i="5"/>
  <c r="M101" i="14"/>
  <c r="N91" i="14" s="1"/>
  <c r="M101" i="6"/>
  <c r="N92" i="6" s="1"/>
  <c r="N70" i="23"/>
  <c r="R68" i="23"/>
  <c r="V66" i="23"/>
  <c r="AR66" i="23" s="1"/>
  <c r="P65" i="23"/>
  <c r="T63" i="23"/>
  <c r="AP63" i="23" s="1"/>
  <c r="N62" i="23"/>
  <c r="M70" i="23"/>
  <c r="Q68" i="23"/>
  <c r="U66" i="23"/>
  <c r="AQ66" i="23" s="1"/>
  <c r="O65" i="23"/>
  <c r="S63" i="23"/>
  <c r="AO63" i="23" s="1"/>
  <c r="M62" i="23"/>
  <c r="V69" i="23"/>
  <c r="AR69" i="23" s="1"/>
  <c r="P68" i="23"/>
  <c r="T66" i="23"/>
  <c r="AP66" i="23" s="1"/>
  <c r="N65" i="23"/>
  <c r="R63" i="23"/>
  <c r="AN63" i="23" s="1"/>
  <c r="V61" i="23"/>
  <c r="AR61" i="23" s="1"/>
  <c r="S69" i="23"/>
  <c r="M68" i="23"/>
  <c r="Q66" i="23"/>
  <c r="U64" i="23"/>
  <c r="AQ64" i="23" s="1"/>
  <c r="O63" i="23"/>
  <c r="S61" i="23"/>
  <c r="AO61" i="23" s="1"/>
  <c r="R69" i="23"/>
  <c r="V67" i="23"/>
  <c r="AR67" i="23" s="1"/>
  <c r="P66" i="23"/>
  <c r="T64" i="23"/>
  <c r="AP64" i="23" s="1"/>
  <c r="N63" i="23"/>
  <c r="R61" i="23"/>
  <c r="AN61" i="23" s="1"/>
  <c r="Q69" i="23"/>
  <c r="U67" i="23"/>
  <c r="AQ67" i="23" s="1"/>
  <c r="O66" i="23"/>
  <c r="S64" i="23"/>
  <c r="AO64" i="23" s="1"/>
  <c r="M63" i="23"/>
  <c r="Q61" i="23"/>
  <c r="AM61" i="23" s="1"/>
  <c r="U70" i="23"/>
  <c r="O69" i="23"/>
  <c r="S67" i="23"/>
  <c r="M66" i="23"/>
  <c r="Q64" i="23"/>
  <c r="AM64" i="23" s="1"/>
  <c r="U62" i="23"/>
  <c r="AQ62" i="23" s="1"/>
  <c r="O61" i="23"/>
  <c r="AK61" i="23" s="1"/>
  <c r="M69" i="23"/>
  <c r="N66" i="23"/>
  <c r="Q63" i="23"/>
  <c r="AM63" i="23" s="1"/>
  <c r="V68" i="23"/>
  <c r="AR68" i="23" s="1"/>
  <c r="V65" i="23"/>
  <c r="AR65" i="23" s="1"/>
  <c r="P63" i="23"/>
  <c r="AL63" i="23" s="1"/>
  <c r="U68" i="23"/>
  <c r="AQ68" i="23" s="1"/>
  <c r="U65" i="23"/>
  <c r="AQ65" i="23" s="1"/>
  <c r="V62" i="23"/>
  <c r="AR62" i="23" s="1"/>
  <c r="T68" i="23"/>
  <c r="T65" i="23"/>
  <c r="AP65" i="23" s="1"/>
  <c r="T62" i="23"/>
  <c r="AP62" i="23" s="1"/>
  <c r="S68" i="23"/>
  <c r="S65" i="23"/>
  <c r="AO65" i="23" s="1"/>
  <c r="S62" i="23"/>
  <c r="AO62" i="23" s="1"/>
  <c r="V70" i="23"/>
  <c r="O68" i="23"/>
  <c r="R65" i="23"/>
  <c r="AN65" i="23" s="1"/>
  <c r="R62" i="23"/>
  <c r="AN62" i="23" s="1"/>
  <c r="T70" i="23"/>
  <c r="N68" i="23"/>
  <c r="Q65" i="23"/>
  <c r="Q62" i="23"/>
  <c r="AM62" i="23" s="1"/>
  <c r="S70" i="23"/>
  <c r="T67" i="23"/>
  <c r="AP67" i="23" s="1"/>
  <c r="M65" i="23"/>
  <c r="P62" i="23"/>
  <c r="AL62" i="23" s="1"/>
  <c r="R70" i="23"/>
  <c r="R67" i="23"/>
  <c r="V64" i="23"/>
  <c r="AR64" i="23" s="1"/>
  <c r="O62" i="23"/>
  <c r="AK62" i="23" s="1"/>
  <c r="Q70" i="23"/>
  <c r="Q67" i="23"/>
  <c r="R64" i="23"/>
  <c r="AN64" i="23" s="1"/>
  <c r="U61" i="23"/>
  <c r="AQ61" i="23" s="1"/>
  <c r="P70" i="23"/>
  <c r="P67" i="23"/>
  <c r="P64" i="23"/>
  <c r="T61" i="23"/>
  <c r="AP61" i="23" s="1"/>
  <c r="O70" i="23"/>
  <c r="O67" i="23"/>
  <c r="O64" i="23"/>
  <c r="P61" i="23"/>
  <c r="AL61" i="23" s="1"/>
  <c r="U69" i="23"/>
  <c r="N67" i="23"/>
  <c r="N64" i="23"/>
  <c r="N61" i="23"/>
  <c r="AJ61" i="23" s="1"/>
  <c r="T69" i="23"/>
  <c r="M67" i="23"/>
  <c r="M64" i="23"/>
  <c r="S66" i="23"/>
  <c r="AO66" i="23" s="1"/>
  <c r="R66" i="23"/>
  <c r="V63" i="23"/>
  <c r="AR63" i="23" s="1"/>
  <c r="U63" i="23"/>
  <c r="AQ63" i="23" s="1"/>
  <c r="M61" i="23"/>
  <c r="P69" i="23"/>
  <c r="N69" i="23"/>
  <c r="S108" i="23"/>
  <c r="M107" i="23"/>
  <c r="Q105" i="23"/>
  <c r="U103" i="23"/>
  <c r="AQ103" i="23" s="1"/>
  <c r="O102" i="23"/>
  <c r="S100" i="23"/>
  <c r="AO100" i="23" s="1"/>
  <c r="R108" i="23"/>
  <c r="V106" i="23"/>
  <c r="AR106" i="23" s="1"/>
  <c r="P105" i="23"/>
  <c r="T103" i="23"/>
  <c r="AP103" i="23" s="1"/>
  <c r="N102" i="23"/>
  <c r="R100" i="23"/>
  <c r="AN100" i="23" s="1"/>
  <c r="Q108" i="23"/>
  <c r="U106" i="23"/>
  <c r="AQ106" i="23" s="1"/>
  <c r="O105" i="23"/>
  <c r="S103" i="23"/>
  <c r="AO103" i="23" s="1"/>
  <c r="M102" i="23"/>
  <c r="Q100" i="23"/>
  <c r="AM100" i="23" s="1"/>
  <c r="T109" i="23"/>
  <c r="N108" i="23"/>
  <c r="R106" i="23"/>
  <c r="V104" i="23"/>
  <c r="AR104" i="23" s="1"/>
  <c r="P103" i="23"/>
  <c r="T101" i="23"/>
  <c r="AP101" i="23" s="1"/>
  <c r="N100" i="23"/>
  <c r="AJ100" i="23" s="1"/>
  <c r="S109" i="23"/>
  <c r="M108" i="23"/>
  <c r="Q106" i="23"/>
  <c r="U104" i="23"/>
  <c r="AQ104" i="23" s="1"/>
  <c r="O103" i="23"/>
  <c r="S101" i="23"/>
  <c r="AO101" i="23" s="1"/>
  <c r="R109" i="23"/>
  <c r="V107" i="23"/>
  <c r="AR107" i="23" s="1"/>
  <c r="P106" i="23"/>
  <c r="T104" i="23"/>
  <c r="AP104" i="23" s="1"/>
  <c r="N103" i="23"/>
  <c r="R101" i="23"/>
  <c r="AN101" i="23" s="1"/>
  <c r="M100" i="23"/>
  <c r="Q109" i="23"/>
  <c r="U107" i="23"/>
  <c r="AQ107" i="23" s="1"/>
  <c r="O106" i="23"/>
  <c r="S104" i="23"/>
  <c r="AO104" i="23" s="1"/>
  <c r="M103" i="23"/>
  <c r="Q101" i="23"/>
  <c r="AM101" i="23" s="1"/>
  <c r="M109" i="23"/>
  <c r="Q107" i="23"/>
  <c r="U105" i="23"/>
  <c r="AQ105" i="23" s="1"/>
  <c r="O104" i="23"/>
  <c r="S102" i="23"/>
  <c r="AO102" i="23" s="1"/>
  <c r="M101" i="23"/>
  <c r="U109" i="23"/>
  <c r="S106" i="23"/>
  <c r="Q103" i="23"/>
  <c r="AM103" i="23" s="1"/>
  <c r="O100" i="23"/>
  <c r="AK100" i="23" s="1"/>
  <c r="P109" i="23"/>
  <c r="N106" i="23"/>
  <c r="V102" i="23"/>
  <c r="AR102" i="23" s="1"/>
  <c r="O109" i="23"/>
  <c r="M106" i="23"/>
  <c r="U102" i="23"/>
  <c r="AQ102" i="23" s="1"/>
  <c r="N109" i="23"/>
  <c r="V105" i="23"/>
  <c r="AR105" i="23" s="1"/>
  <c r="T102" i="23"/>
  <c r="AP102" i="23" s="1"/>
  <c r="V108" i="23"/>
  <c r="AR108" i="23" s="1"/>
  <c r="T105" i="23"/>
  <c r="AP105" i="23" s="1"/>
  <c r="R102" i="23"/>
  <c r="AN102" i="23" s="1"/>
  <c r="U108" i="23"/>
  <c r="S105" i="23"/>
  <c r="AO105" i="23" s="1"/>
  <c r="Q102" i="23"/>
  <c r="AM102" i="23" s="1"/>
  <c r="T108" i="23"/>
  <c r="R105" i="23"/>
  <c r="P102" i="23"/>
  <c r="AL102" i="23" s="1"/>
  <c r="P108" i="23"/>
  <c r="N105" i="23"/>
  <c r="V101" i="23"/>
  <c r="AR101" i="23" s="1"/>
  <c r="O108" i="23"/>
  <c r="M105" i="23"/>
  <c r="U101" i="23"/>
  <c r="AQ101" i="23" s="1"/>
  <c r="T107" i="23"/>
  <c r="R104" i="23"/>
  <c r="AN104" i="23" s="1"/>
  <c r="P101" i="23"/>
  <c r="AL101" i="23" s="1"/>
  <c r="S107" i="23"/>
  <c r="Q104" i="23"/>
  <c r="O101" i="23"/>
  <c r="AK101" i="23" s="1"/>
  <c r="R107" i="23"/>
  <c r="P104" i="23"/>
  <c r="N101" i="23"/>
  <c r="P107" i="23"/>
  <c r="N104" i="23"/>
  <c r="V100" i="23"/>
  <c r="AR100" i="23" s="1"/>
  <c r="O107" i="23"/>
  <c r="M104" i="23"/>
  <c r="U100" i="23"/>
  <c r="AQ100" i="23" s="1"/>
  <c r="R103" i="23"/>
  <c r="AN103" i="23" s="1"/>
  <c r="T100" i="23"/>
  <c r="AP100" i="23" s="1"/>
  <c r="P100" i="23"/>
  <c r="AL100" i="23" s="1"/>
  <c r="V109" i="23"/>
  <c r="N107" i="23"/>
  <c r="T106" i="23"/>
  <c r="AP106" i="23" s="1"/>
  <c r="V103" i="23"/>
  <c r="AR103" i="23" s="1"/>
  <c r="M91" i="22"/>
  <c r="M91" i="13"/>
  <c r="M91" i="18"/>
  <c r="J148" i="23"/>
  <c r="D147" i="23"/>
  <c r="H145" i="23"/>
  <c r="B144" i="23"/>
  <c r="F142" i="23"/>
  <c r="AB142" i="23" s="1"/>
  <c r="H148" i="23"/>
  <c r="K146" i="23"/>
  <c r="AG146" i="23" s="1"/>
  <c r="D145" i="23"/>
  <c r="G143" i="23"/>
  <c r="AC143" i="23" s="1"/>
  <c r="J141" i="23"/>
  <c r="AF141" i="23" s="1"/>
  <c r="D140" i="23"/>
  <c r="Z140" i="23" s="1"/>
  <c r="G148" i="23"/>
  <c r="J146" i="23"/>
  <c r="AF146" i="23" s="1"/>
  <c r="C145" i="23"/>
  <c r="F143" i="23"/>
  <c r="I141" i="23"/>
  <c r="AE141" i="23" s="1"/>
  <c r="C140" i="23"/>
  <c r="F148" i="23"/>
  <c r="I146" i="23"/>
  <c r="B145" i="23"/>
  <c r="E143" i="23"/>
  <c r="H141" i="23"/>
  <c r="AD141" i="23" s="1"/>
  <c r="B140" i="23"/>
  <c r="E148" i="23"/>
  <c r="H146" i="23"/>
  <c r="K144" i="23"/>
  <c r="AG144" i="23" s="1"/>
  <c r="D143" i="23"/>
  <c r="G141" i="23"/>
  <c r="AC141" i="23" s="1"/>
  <c r="K139" i="23"/>
  <c r="AG139" i="23" s="1"/>
  <c r="D148" i="23"/>
  <c r="G146" i="23"/>
  <c r="J144" i="23"/>
  <c r="AF144" i="23" s="1"/>
  <c r="C143" i="23"/>
  <c r="F141" i="23"/>
  <c r="AB141" i="23" s="1"/>
  <c r="J139" i="23"/>
  <c r="AF139" i="23" s="1"/>
  <c r="C148" i="23"/>
  <c r="F146" i="23"/>
  <c r="I144" i="23"/>
  <c r="AE144" i="23" s="1"/>
  <c r="B143" i="23"/>
  <c r="E141" i="23"/>
  <c r="AA141" i="23" s="1"/>
  <c r="I139" i="23"/>
  <c r="AE139" i="23" s="1"/>
  <c r="B148" i="23"/>
  <c r="E146" i="23"/>
  <c r="H144" i="23"/>
  <c r="AD144" i="23" s="1"/>
  <c r="K142" i="23"/>
  <c r="AG142" i="23" s="1"/>
  <c r="D141" i="23"/>
  <c r="H139" i="23"/>
  <c r="AD139" i="23" s="1"/>
  <c r="K147" i="23"/>
  <c r="AG147" i="23" s="1"/>
  <c r="D146" i="23"/>
  <c r="G144" i="23"/>
  <c r="J142" i="23"/>
  <c r="AF142" i="23" s="1"/>
  <c r="C141" i="23"/>
  <c r="G139" i="23"/>
  <c r="AC139" i="23" s="1"/>
  <c r="J147" i="23"/>
  <c r="C146" i="23"/>
  <c r="F144" i="23"/>
  <c r="I142" i="23"/>
  <c r="AE142" i="23" s="1"/>
  <c r="B141" i="23"/>
  <c r="F139" i="23"/>
  <c r="AB139" i="23" s="1"/>
  <c r="I147" i="23"/>
  <c r="B146" i="23"/>
  <c r="E144" i="23"/>
  <c r="H142" i="23"/>
  <c r="AD142" i="23" s="1"/>
  <c r="K140" i="23"/>
  <c r="AG140" i="23" s="1"/>
  <c r="E139" i="23"/>
  <c r="AA139" i="23" s="1"/>
  <c r="H147" i="23"/>
  <c r="K145" i="23"/>
  <c r="AG145" i="23" s="1"/>
  <c r="D144" i="23"/>
  <c r="G142" i="23"/>
  <c r="AC142" i="23" s="1"/>
  <c r="J140" i="23"/>
  <c r="AF140" i="23" s="1"/>
  <c r="D139" i="23"/>
  <c r="Z139" i="23" s="1"/>
  <c r="G147" i="23"/>
  <c r="J145" i="23"/>
  <c r="AF145" i="23" s="1"/>
  <c r="C144" i="23"/>
  <c r="E142" i="23"/>
  <c r="I140" i="23"/>
  <c r="AE140" i="23" s="1"/>
  <c r="C139" i="23"/>
  <c r="Y139" i="23" s="1"/>
  <c r="E147" i="23"/>
  <c r="G145" i="23"/>
  <c r="J143" i="23"/>
  <c r="AF143" i="23" s="1"/>
  <c r="C142" i="23"/>
  <c r="G140" i="23"/>
  <c r="AC140" i="23" s="1"/>
  <c r="B139" i="23"/>
  <c r="F147" i="23"/>
  <c r="C147" i="23"/>
  <c r="B147" i="23"/>
  <c r="I145" i="23"/>
  <c r="AE145" i="23" s="1"/>
  <c r="F145" i="23"/>
  <c r="E145" i="23"/>
  <c r="K143" i="23"/>
  <c r="AG143" i="23" s="1"/>
  <c r="I143" i="23"/>
  <c r="AE143" i="23" s="1"/>
  <c r="H143" i="23"/>
  <c r="AD143" i="23" s="1"/>
  <c r="D142" i="23"/>
  <c r="B142" i="23"/>
  <c r="K141" i="23"/>
  <c r="AG141" i="23" s="1"/>
  <c r="H140" i="23"/>
  <c r="AD140" i="23" s="1"/>
  <c r="F140" i="23"/>
  <c r="AB140" i="23" s="1"/>
  <c r="K148" i="23"/>
  <c r="I148" i="23"/>
  <c r="E140" i="23"/>
  <c r="AA140" i="23" s="1"/>
  <c r="F43" i="23"/>
  <c r="J41" i="23"/>
  <c r="AF41" i="23" s="1"/>
  <c r="D40" i="23"/>
  <c r="H38" i="23"/>
  <c r="AD38" i="23" s="1"/>
  <c r="B37" i="23"/>
  <c r="F35" i="23"/>
  <c r="AB35" i="23" s="1"/>
  <c r="K44" i="23"/>
  <c r="E43" i="23"/>
  <c r="I41" i="23"/>
  <c r="AE41" i="23" s="1"/>
  <c r="C40" i="23"/>
  <c r="G38" i="23"/>
  <c r="AC38" i="23" s="1"/>
  <c r="K36" i="23"/>
  <c r="AG36" i="23" s="1"/>
  <c r="E35" i="23"/>
  <c r="AA35" i="23" s="1"/>
  <c r="J44" i="23"/>
  <c r="D43" i="23"/>
  <c r="H41" i="23"/>
  <c r="B40" i="23"/>
  <c r="F38" i="23"/>
  <c r="AB38" i="23" s="1"/>
  <c r="J36" i="23"/>
  <c r="AF36" i="23" s="1"/>
  <c r="D35" i="23"/>
  <c r="Z35" i="23" s="1"/>
  <c r="I44" i="23"/>
  <c r="C43" i="23"/>
  <c r="G41" i="23"/>
  <c r="K39" i="23"/>
  <c r="AG39" i="23" s="1"/>
  <c r="E38" i="23"/>
  <c r="I36" i="23"/>
  <c r="AE36" i="23" s="1"/>
  <c r="C35" i="23"/>
  <c r="Y35" i="23" s="1"/>
  <c r="H44" i="23"/>
  <c r="B43" i="23"/>
  <c r="F41" i="23"/>
  <c r="J39" i="23"/>
  <c r="AF39" i="23" s="1"/>
  <c r="D38" i="23"/>
  <c r="H36" i="23"/>
  <c r="AD36" i="23" s="1"/>
  <c r="G44" i="23"/>
  <c r="K42" i="23"/>
  <c r="AG42" i="23" s="1"/>
  <c r="E41" i="23"/>
  <c r="I39" i="23"/>
  <c r="AE39" i="23" s="1"/>
  <c r="C38" i="23"/>
  <c r="G36" i="23"/>
  <c r="AC36" i="23" s="1"/>
  <c r="B35" i="23"/>
  <c r="F44" i="23"/>
  <c r="J42" i="23"/>
  <c r="AF42" i="23" s="1"/>
  <c r="D41" i="23"/>
  <c r="H39" i="23"/>
  <c r="AD39" i="23" s="1"/>
  <c r="B38" i="23"/>
  <c r="F36" i="23"/>
  <c r="AB36" i="23" s="1"/>
  <c r="E44" i="23"/>
  <c r="I42" i="23"/>
  <c r="C41" i="23"/>
  <c r="G39" i="23"/>
  <c r="AC39" i="23" s="1"/>
  <c r="K37" i="23"/>
  <c r="AG37" i="23" s="1"/>
  <c r="E36" i="23"/>
  <c r="AA36" i="23" s="1"/>
  <c r="C44" i="23"/>
  <c r="G42" i="23"/>
  <c r="K40" i="23"/>
  <c r="AG40" i="23" s="1"/>
  <c r="E39" i="23"/>
  <c r="I37" i="23"/>
  <c r="AE37" i="23" s="1"/>
  <c r="C36" i="23"/>
  <c r="B44" i="23"/>
  <c r="F42" i="23"/>
  <c r="J40" i="23"/>
  <c r="AF40" i="23" s="1"/>
  <c r="D39" i="23"/>
  <c r="H37" i="23"/>
  <c r="AD37" i="23" s="1"/>
  <c r="B36" i="23"/>
  <c r="K43" i="23"/>
  <c r="AG43" i="23" s="1"/>
  <c r="E42" i="23"/>
  <c r="I40" i="23"/>
  <c r="AE40" i="23" s="1"/>
  <c r="C39" i="23"/>
  <c r="G37" i="23"/>
  <c r="AC37" i="23" s="1"/>
  <c r="K35" i="23"/>
  <c r="AG35" i="23" s="1"/>
  <c r="I43" i="23"/>
  <c r="J38" i="23"/>
  <c r="AF38" i="23" s="1"/>
  <c r="H43" i="23"/>
  <c r="I38" i="23"/>
  <c r="AE38" i="23" s="1"/>
  <c r="G43" i="23"/>
  <c r="J37" i="23"/>
  <c r="AF37" i="23" s="1"/>
  <c r="H42" i="23"/>
  <c r="F37" i="23"/>
  <c r="AB37" i="23" s="1"/>
  <c r="D42" i="23"/>
  <c r="E37" i="23"/>
  <c r="AA37" i="23" s="1"/>
  <c r="C42" i="23"/>
  <c r="D37" i="23"/>
  <c r="B42" i="23"/>
  <c r="C37" i="23"/>
  <c r="K41" i="23"/>
  <c r="AG41" i="23" s="1"/>
  <c r="D36" i="23"/>
  <c r="Z36" i="23" s="1"/>
  <c r="B41" i="23"/>
  <c r="J35" i="23"/>
  <c r="AF35" i="23" s="1"/>
  <c r="H40" i="23"/>
  <c r="AD40" i="23" s="1"/>
  <c r="I35" i="23"/>
  <c r="AE35" i="23" s="1"/>
  <c r="G40" i="23"/>
  <c r="H35" i="23"/>
  <c r="AD35" i="23" s="1"/>
  <c r="F40" i="23"/>
  <c r="G35" i="23"/>
  <c r="AC35" i="23" s="1"/>
  <c r="E40" i="23"/>
  <c r="F39" i="23"/>
  <c r="D44" i="23"/>
  <c r="J43" i="23"/>
  <c r="B39" i="23"/>
  <c r="K38" i="23"/>
  <c r="AG38" i="23" s="1"/>
  <c r="M91" i="20"/>
  <c r="M91" i="12"/>
  <c r="F134" i="23"/>
  <c r="J132" i="23"/>
  <c r="AF132" i="23" s="1"/>
  <c r="D131" i="23"/>
  <c r="H129" i="23"/>
  <c r="AD129" i="23" s="1"/>
  <c r="B128" i="23"/>
  <c r="F126" i="23"/>
  <c r="AB126" i="23" s="1"/>
  <c r="K135" i="23"/>
  <c r="E134" i="23"/>
  <c r="I132" i="23"/>
  <c r="AE132" i="23" s="1"/>
  <c r="C131" i="23"/>
  <c r="G129" i="23"/>
  <c r="AC129" i="23" s="1"/>
  <c r="K127" i="23"/>
  <c r="AG127" i="23" s="1"/>
  <c r="E126" i="23"/>
  <c r="AA126" i="23" s="1"/>
  <c r="J135" i="23"/>
  <c r="D134" i="23"/>
  <c r="H132" i="23"/>
  <c r="B131" i="23"/>
  <c r="F129" i="23"/>
  <c r="AB129" i="23" s="1"/>
  <c r="J127" i="23"/>
  <c r="AF127" i="23" s="1"/>
  <c r="D126" i="23"/>
  <c r="Z126" i="23" s="1"/>
  <c r="I135" i="23"/>
  <c r="C134" i="23"/>
  <c r="G132" i="23"/>
  <c r="K130" i="23"/>
  <c r="AG130" i="23" s="1"/>
  <c r="E129" i="23"/>
  <c r="I127" i="23"/>
  <c r="AE127" i="23" s="1"/>
  <c r="C126" i="23"/>
  <c r="Y126" i="23" s="1"/>
  <c r="H135" i="23"/>
  <c r="B134" i="23"/>
  <c r="F132" i="23"/>
  <c r="J130" i="23"/>
  <c r="AF130" i="23" s="1"/>
  <c r="D129" i="23"/>
  <c r="H127" i="23"/>
  <c r="AD127" i="23" s="1"/>
  <c r="G135" i="23"/>
  <c r="K133" i="23"/>
  <c r="AG133" i="23" s="1"/>
  <c r="E132" i="23"/>
  <c r="I130" i="23"/>
  <c r="AE130" i="23" s="1"/>
  <c r="C129" i="23"/>
  <c r="G127" i="23"/>
  <c r="AC127" i="23" s="1"/>
  <c r="B126" i="23"/>
  <c r="F135" i="23"/>
  <c r="J133" i="23"/>
  <c r="AF133" i="23" s="1"/>
  <c r="D132" i="23"/>
  <c r="H130" i="23"/>
  <c r="AD130" i="23" s="1"/>
  <c r="B129" i="23"/>
  <c r="F127" i="23"/>
  <c r="AB127" i="23" s="1"/>
  <c r="E135" i="23"/>
  <c r="I133" i="23"/>
  <c r="C132" i="23"/>
  <c r="G130" i="23"/>
  <c r="AC130" i="23" s="1"/>
  <c r="K128" i="23"/>
  <c r="AG128" i="23" s="1"/>
  <c r="E127" i="23"/>
  <c r="AA127" i="23" s="1"/>
  <c r="D135" i="23"/>
  <c r="H133" i="23"/>
  <c r="B132" i="23"/>
  <c r="F130" i="23"/>
  <c r="J128" i="23"/>
  <c r="AF128" i="23" s="1"/>
  <c r="D127" i="23"/>
  <c r="Z127" i="23" s="1"/>
  <c r="C135" i="23"/>
  <c r="G133" i="23"/>
  <c r="K131" i="23"/>
  <c r="AG131" i="23" s="1"/>
  <c r="E130" i="23"/>
  <c r="I128" i="23"/>
  <c r="AE128" i="23" s="1"/>
  <c r="C127" i="23"/>
  <c r="B135" i="23"/>
  <c r="F133" i="23"/>
  <c r="J131" i="23"/>
  <c r="AF131" i="23" s="1"/>
  <c r="D130" i="23"/>
  <c r="H128" i="23"/>
  <c r="AD128" i="23" s="1"/>
  <c r="B127" i="23"/>
  <c r="K134" i="23"/>
  <c r="AG134" i="23" s="1"/>
  <c r="E133" i="23"/>
  <c r="I131" i="23"/>
  <c r="AE131" i="23" s="1"/>
  <c r="C130" i="23"/>
  <c r="G128" i="23"/>
  <c r="AC128" i="23" s="1"/>
  <c r="K126" i="23"/>
  <c r="AG126" i="23" s="1"/>
  <c r="I134" i="23"/>
  <c r="C133" i="23"/>
  <c r="G131" i="23"/>
  <c r="K129" i="23"/>
  <c r="AG129" i="23" s="1"/>
  <c r="E128" i="23"/>
  <c r="AA128" i="23" s="1"/>
  <c r="I126" i="23"/>
  <c r="AE126" i="23" s="1"/>
  <c r="J129" i="23"/>
  <c r="AF129" i="23" s="1"/>
  <c r="I129" i="23"/>
  <c r="AE129" i="23" s="1"/>
  <c r="F128" i="23"/>
  <c r="AB128" i="23" s="1"/>
  <c r="D128" i="23"/>
  <c r="C128" i="23"/>
  <c r="J126" i="23"/>
  <c r="AF126" i="23" s="1"/>
  <c r="J134" i="23"/>
  <c r="H126" i="23"/>
  <c r="AD126" i="23" s="1"/>
  <c r="H134" i="23"/>
  <c r="G126" i="23"/>
  <c r="AC126" i="23" s="1"/>
  <c r="G134" i="23"/>
  <c r="D133" i="23"/>
  <c r="B133" i="23"/>
  <c r="K132" i="23"/>
  <c r="AG132" i="23" s="1"/>
  <c r="H131" i="23"/>
  <c r="AD131" i="23" s="1"/>
  <c r="F131" i="23"/>
  <c r="E131" i="23"/>
  <c r="B130" i="23"/>
  <c r="F82" i="23"/>
  <c r="J80" i="23"/>
  <c r="AF80" i="23" s="1"/>
  <c r="D79" i="23"/>
  <c r="H77" i="23"/>
  <c r="AD77" i="23" s="1"/>
  <c r="B76" i="23"/>
  <c r="F74" i="23"/>
  <c r="AB74" i="23" s="1"/>
  <c r="K83" i="23"/>
  <c r="E82" i="23"/>
  <c r="I80" i="23"/>
  <c r="AE80" i="23" s="1"/>
  <c r="C79" i="23"/>
  <c r="G77" i="23"/>
  <c r="AC77" i="23" s="1"/>
  <c r="K75" i="23"/>
  <c r="AG75" i="23" s="1"/>
  <c r="E74" i="23"/>
  <c r="AA74" i="23" s="1"/>
  <c r="J83" i="23"/>
  <c r="D82" i="23"/>
  <c r="H80" i="23"/>
  <c r="B79" i="23"/>
  <c r="F77" i="23"/>
  <c r="AB77" i="23" s="1"/>
  <c r="J75" i="23"/>
  <c r="AF75" i="23" s="1"/>
  <c r="D74" i="23"/>
  <c r="Z74" i="23" s="1"/>
  <c r="I83" i="23"/>
  <c r="C82" i="23"/>
  <c r="G80" i="23"/>
  <c r="K78" i="23"/>
  <c r="AG78" i="23" s="1"/>
  <c r="E77" i="23"/>
  <c r="I75" i="23"/>
  <c r="AE75" i="23" s="1"/>
  <c r="C74" i="23"/>
  <c r="Y74" i="23" s="1"/>
  <c r="G83" i="23"/>
  <c r="K81" i="23"/>
  <c r="AG81" i="23" s="1"/>
  <c r="E80" i="23"/>
  <c r="I78" i="23"/>
  <c r="AE78" i="23" s="1"/>
  <c r="C77" i="23"/>
  <c r="G75" i="23"/>
  <c r="AC75" i="23" s="1"/>
  <c r="B74" i="23"/>
  <c r="F83" i="23"/>
  <c r="J81" i="23"/>
  <c r="AF81" i="23" s="1"/>
  <c r="D80" i="23"/>
  <c r="H78" i="23"/>
  <c r="AD78" i="23" s="1"/>
  <c r="B77" i="23"/>
  <c r="F75" i="23"/>
  <c r="AB75" i="23" s="1"/>
  <c r="E83" i="23"/>
  <c r="I81" i="23"/>
  <c r="C80" i="23"/>
  <c r="G78" i="23"/>
  <c r="AC78" i="23" s="1"/>
  <c r="K76" i="23"/>
  <c r="AG76" i="23" s="1"/>
  <c r="E75" i="23"/>
  <c r="AA75" i="23" s="1"/>
  <c r="C83" i="23"/>
  <c r="G81" i="23"/>
  <c r="K79" i="23"/>
  <c r="AG79" i="23" s="1"/>
  <c r="E78" i="23"/>
  <c r="I76" i="23"/>
  <c r="AE76" i="23" s="1"/>
  <c r="C75" i="23"/>
  <c r="K82" i="23"/>
  <c r="AG82" i="23" s="1"/>
  <c r="E81" i="23"/>
  <c r="I79" i="23"/>
  <c r="AE79" i="23" s="1"/>
  <c r="C78" i="23"/>
  <c r="G76" i="23"/>
  <c r="AC76" i="23" s="1"/>
  <c r="K74" i="23"/>
  <c r="AG74" i="23" s="1"/>
  <c r="J82" i="23"/>
  <c r="D81" i="23"/>
  <c r="H79" i="23"/>
  <c r="AD79" i="23" s="1"/>
  <c r="B78" i="23"/>
  <c r="F76" i="23"/>
  <c r="AB76" i="23" s="1"/>
  <c r="J74" i="23"/>
  <c r="AF74" i="23" s="1"/>
  <c r="G79" i="23"/>
  <c r="D75" i="23"/>
  <c r="Z75" i="23" s="1"/>
  <c r="H83" i="23"/>
  <c r="F79" i="23"/>
  <c r="B75" i="23"/>
  <c r="D83" i="23"/>
  <c r="E79" i="23"/>
  <c r="I74" i="23"/>
  <c r="AE74" i="23" s="1"/>
  <c r="B83" i="23"/>
  <c r="J78" i="23"/>
  <c r="AF78" i="23" s="1"/>
  <c r="H74" i="23"/>
  <c r="AD74" i="23" s="1"/>
  <c r="I82" i="23"/>
  <c r="F78" i="23"/>
  <c r="G74" i="23"/>
  <c r="AC74" i="23" s="1"/>
  <c r="H82" i="23"/>
  <c r="D78" i="23"/>
  <c r="G82" i="23"/>
  <c r="K77" i="23"/>
  <c r="AG77" i="23" s="1"/>
  <c r="B82" i="23"/>
  <c r="J77" i="23"/>
  <c r="AF77" i="23" s="1"/>
  <c r="H81" i="23"/>
  <c r="I77" i="23"/>
  <c r="AE77" i="23" s="1"/>
  <c r="F81" i="23"/>
  <c r="D77" i="23"/>
  <c r="C81" i="23"/>
  <c r="J76" i="23"/>
  <c r="AF76" i="23" s="1"/>
  <c r="B81" i="23"/>
  <c r="H76" i="23"/>
  <c r="AD76" i="23" s="1"/>
  <c r="K80" i="23"/>
  <c r="AG80" i="23" s="1"/>
  <c r="E76" i="23"/>
  <c r="AA76" i="23" s="1"/>
  <c r="F80" i="23"/>
  <c r="D76" i="23"/>
  <c r="B80" i="23"/>
  <c r="J79" i="23"/>
  <c r="AF79" i="23" s="1"/>
  <c r="C76" i="23"/>
  <c r="H75" i="23"/>
  <c r="AD75" i="23" s="1"/>
  <c r="H122" i="23"/>
  <c r="B121" i="23"/>
  <c r="F119" i="23"/>
  <c r="J117" i="23"/>
  <c r="AF117" i="23" s="1"/>
  <c r="D116" i="23"/>
  <c r="H114" i="23"/>
  <c r="AD114" i="23" s="1"/>
  <c r="G122" i="23"/>
  <c r="K120" i="23"/>
  <c r="AG120" i="23" s="1"/>
  <c r="E119" i="23"/>
  <c r="I117" i="23"/>
  <c r="AE117" i="23" s="1"/>
  <c r="C116" i="23"/>
  <c r="G114" i="23"/>
  <c r="AC114" i="23" s="1"/>
  <c r="B113" i="23"/>
  <c r="F122" i="23"/>
  <c r="J120" i="23"/>
  <c r="AF120" i="23" s="1"/>
  <c r="D119" i="23"/>
  <c r="H117" i="23"/>
  <c r="AD117" i="23" s="1"/>
  <c r="B116" i="23"/>
  <c r="F114" i="23"/>
  <c r="AB114" i="23" s="1"/>
  <c r="E122" i="23"/>
  <c r="I120" i="23"/>
  <c r="C119" i="23"/>
  <c r="G117" i="23"/>
  <c r="AC117" i="23" s="1"/>
  <c r="K115" i="23"/>
  <c r="AG115" i="23" s="1"/>
  <c r="E114" i="23"/>
  <c r="AA114" i="23" s="1"/>
  <c r="D122" i="23"/>
  <c r="H120" i="23"/>
  <c r="B119" i="23"/>
  <c r="F117" i="23"/>
  <c r="J115" i="23"/>
  <c r="AF115" i="23" s="1"/>
  <c r="D114" i="23"/>
  <c r="Z114" i="23" s="1"/>
  <c r="C122" i="23"/>
  <c r="G120" i="23"/>
  <c r="K118" i="23"/>
  <c r="AG118" i="23" s="1"/>
  <c r="E117" i="23"/>
  <c r="I115" i="23"/>
  <c r="AE115" i="23" s="1"/>
  <c r="C114" i="23"/>
  <c r="B122" i="23"/>
  <c r="F120" i="23"/>
  <c r="J118" i="23"/>
  <c r="AF118" i="23" s="1"/>
  <c r="D117" i="23"/>
  <c r="H115" i="23"/>
  <c r="AD115" i="23" s="1"/>
  <c r="B114" i="23"/>
  <c r="K121" i="23"/>
  <c r="AG121" i="23" s="1"/>
  <c r="E120" i="23"/>
  <c r="I118" i="23"/>
  <c r="AE118" i="23" s="1"/>
  <c r="C117" i="23"/>
  <c r="G115" i="23"/>
  <c r="AC115" i="23" s="1"/>
  <c r="K113" i="23"/>
  <c r="AG113" i="23" s="1"/>
  <c r="J121" i="23"/>
  <c r="D120" i="23"/>
  <c r="H118" i="23"/>
  <c r="AD118" i="23" s="1"/>
  <c r="B117" i="23"/>
  <c r="F115" i="23"/>
  <c r="AB115" i="23" s="1"/>
  <c r="J113" i="23"/>
  <c r="AF113" i="23" s="1"/>
  <c r="I121" i="23"/>
  <c r="C120" i="23"/>
  <c r="G118" i="23"/>
  <c r="K116" i="23"/>
  <c r="AG116" i="23" s="1"/>
  <c r="E115" i="23"/>
  <c r="AA115" i="23" s="1"/>
  <c r="I113" i="23"/>
  <c r="AE113" i="23" s="1"/>
  <c r="H121" i="23"/>
  <c r="B120" i="23"/>
  <c r="F118" i="23"/>
  <c r="J116" i="23"/>
  <c r="AF116" i="23" s="1"/>
  <c r="D115" i="23"/>
  <c r="H113" i="23"/>
  <c r="AD113" i="23" s="1"/>
  <c r="K122" i="23"/>
  <c r="E121" i="23"/>
  <c r="I119" i="23"/>
  <c r="AE119" i="23" s="1"/>
  <c r="C118" i="23"/>
  <c r="G116" i="23"/>
  <c r="AC116" i="23" s="1"/>
  <c r="K114" i="23"/>
  <c r="AG114" i="23" s="1"/>
  <c r="E113" i="23"/>
  <c r="AA113" i="23" s="1"/>
  <c r="F121" i="23"/>
  <c r="B115" i="23"/>
  <c r="D121" i="23"/>
  <c r="J114" i="23"/>
  <c r="AF114" i="23" s="1"/>
  <c r="C121" i="23"/>
  <c r="I114" i="23"/>
  <c r="AE114" i="23" s="1"/>
  <c r="K119" i="23"/>
  <c r="AG119" i="23" s="1"/>
  <c r="G113" i="23"/>
  <c r="AC113" i="23" s="1"/>
  <c r="J119" i="23"/>
  <c r="AF119" i="23" s="1"/>
  <c r="F113" i="23"/>
  <c r="AB113" i="23" s="1"/>
  <c r="H119" i="23"/>
  <c r="D113" i="23"/>
  <c r="Z113" i="23" s="1"/>
  <c r="G119" i="23"/>
  <c r="C113" i="23"/>
  <c r="Y113" i="23" s="1"/>
  <c r="E118" i="23"/>
  <c r="D118" i="23"/>
  <c r="B118" i="23"/>
  <c r="K117" i="23"/>
  <c r="AG117" i="23" s="1"/>
  <c r="I116" i="23"/>
  <c r="AE116" i="23" s="1"/>
  <c r="H116" i="23"/>
  <c r="AD116" i="23" s="1"/>
  <c r="J122" i="23"/>
  <c r="F116" i="23"/>
  <c r="AB116" i="23" s="1"/>
  <c r="I122" i="23"/>
  <c r="G121" i="23"/>
  <c r="E116" i="23"/>
  <c r="C115" i="23"/>
  <c r="S83" i="23"/>
  <c r="M82" i="23"/>
  <c r="Q80" i="23"/>
  <c r="U78" i="23"/>
  <c r="AQ78" i="23" s="1"/>
  <c r="O77" i="23"/>
  <c r="S75" i="23"/>
  <c r="AO75" i="23" s="1"/>
  <c r="R83" i="23"/>
  <c r="V81" i="23"/>
  <c r="AR81" i="23" s="1"/>
  <c r="P80" i="23"/>
  <c r="T78" i="23"/>
  <c r="AP78" i="23" s="1"/>
  <c r="N77" i="23"/>
  <c r="R75" i="23"/>
  <c r="AN75" i="23" s="1"/>
  <c r="M74" i="23"/>
  <c r="Q83" i="23"/>
  <c r="U81" i="23"/>
  <c r="AQ81" i="23" s="1"/>
  <c r="O80" i="23"/>
  <c r="S78" i="23"/>
  <c r="AO78" i="23" s="1"/>
  <c r="M77" i="23"/>
  <c r="Q75" i="23"/>
  <c r="AM75" i="23" s="1"/>
  <c r="P83" i="23"/>
  <c r="T81" i="23"/>
  <c r="N80" i="23"/>
  <c r="R78" i="23"/>
  <c r="AN78" i="23" s="1"/>
  <c r="V76" i="23"/>
  <c r="AR76" i="23" s="1"/>
  <c r="P75" i="23"/>
  <c r="AL75" i="23" s="1"/>
  <c r="O83" i="23"/>
  <c r="S81" i="23"/>
  <c r="M80" i="23"/>
  <c r="Q78" i="23"/>
  <c r="U76" i="23"/>
  <c r="AQ76" i="23" s="1"/>
  <c r="O75" i="23"/>
  <c r="AK75" i="23" s="1"/>
  <c r="M83" i="23"/>
  <c r="Q81" i="23"/>
  <c r="U79" i="23"/>
  <c r="AQ79" i="23" s="1"/>
  <c r="O78" i="23"/>
  <c r="S76" i="23"/>
  <c r="AO76" i="23" s="1"/>
  <c r="M75" i="23"/>
  <c r="V82" i="23"/>
  <c r="AR82" i="23" s="1"/>
  <c r="P81" i="23"/>
  <c r="T79" i="23"/>
  <c r="AP79" i="23" s="1"/>
  <c r="N78" i="23"/>
  <c r="R76" i="23"/>
  <c r="AN76" i="23" s="1"/>
  <c r="V74" i="23"/>
  <c r="AR74" i="23" s="1"/>
  <c r="U82" i="23"/>
  <c r="O81" i="23"/>
  <c r="S79" i="23"/>
  <c r="AO79" i="23" s="1"/>
  <c r="M78" i="23"/>
  <c r="Q76" i="23"/>
  <c r="AM76" i="23" s="1"/>
  <c r="U74" i="23"/>
  <c r="AQ74" i="23" s="1"/>
  <c r="S82" i="23"/>
  <c r="M81" i="23"/>
  <c r="Q79" i="23"/>
  <c r="U77" i="23"/>
  <c r="AQ77" i="23" s="1"/>
  <c r="O76" i="23"/>
  <c r="S74" i="23"/>
  <c r="AO74" i="23" s="1"/>
  <c r="Q82" i="23"/>
  <c r="U80" i="23"/>
  <c r="AQ80" i="23" s="1"/>
  <c r="O79" i="23"/>
  <c r="S77" i="23"/>
  <c r="AO77" i="23" s="1"/>
  <c r="M76" i="23"/>
  <c r="Q74" i="23"/>
  <c r="AM74" i="23" s="1"/>
  <c r="V83" i="23"/>
  <c r="P82" i="23"/>
  <c r="T80" i="23"/>
  <c r="AP80" i="23" s="1"/>
  <c r="N79" i="23"/>
  <c r="R77" i="23"/>
  <c r="AN77" i="23" s="1"/>
  <c r="V75" i="23"/>
  <c r="AR75" i="23" s="1"/>
  <c r="P74" i="23"/>
  <c r="AL74" i="23" s="1"/>
  <c r="M79" i="23"/>
  <c r="N74" i="23"/>
  <c r="AJ74" i="23" s="1"/>
  <c r="U83" i="23"/>
  <c r="V78" i="23"/>
  <c r="AR78" i="23" s="1"/>
  <c r="T83" i="23"/>
  <c r="P78" i="23"/>
  <c r="N83" i="23"/>
  <c r="V77" i="23"/>
  <c r="AR77" i="23" s="1"/>
  <c r="T82" i="23"/>
  <c r="T77" i="23"/>
  <c r="AP77" i="23" s="1"/>
  <c r="R82" i="23"/>
  <c r="Q77" i="23"/>
  <c r="AM77" i="23" s="1"/>
  <c r="O82" i="23"/>
  <c r="P77" i="23"/>
  <c r="N82" i="23"/>
  <c r="T76" i="23"/>
  <c r="AP76" i="23" s="1"/>
  <c r="R81" i="23"/>
  <c r="P76" i="23"/>
  <c r="AL76" i="23" s="1"/>
  <c r="N81" i="23"/>
  <c r="N76" i="23"/>
  <c r="V80" i="23"/>
  <c r="AR80" i="23" s="1"/>
  <c r="U75" i="23"/>
  <c r="AQ75" i="23" s="1"/>
  <c r="S80" i="23"/>
  <c r="T75" i="23"/>
  <c r="AP75" i="23" s="1"/>
  <c r="R80" i="23"/>
  <c r="N75" i="23"/>
  <c r="V79" i="23"/>
  <c r="AR79" i="23" s="1"/>
  <c r="T74" i="23"/>
  <c r="AP74" i="23" s="1"/>
  <c r="R79" i="23"/>
  <c r="P79" i="23"/>
  <c r="R74" i="23"/>
  <c r="AN74" i="23" s="1"/>
  <c r="O74" i="23"/>
  <c r="AK74" i="23" s="1"/>
  <c r="M91" i="11"/>
  <c r="M91" i="4"/>
  <c r="H31" i="23"/>
  <c r="B30" i="23"/>
  <c r="F28" i="23"/>
  <c r="J26" i="23"/>
  <c r="AF26" i="23" s="1"/>
  <c r="D25" i="23"/>
  <c r="H23" i="23"/>
  <c r="AD23" i="23" s="1"/>
  <c r="G31" i="23"/>
  <c r="K29" i="23"/>
  <c r="AG29" i="23" s="1"/>
  <c r="E28" i="23"/>
  <c r="I26" i="23"/>
  <c r="AE26" i="23" s="1"/>
  <c r="C25" i="23"/>
  <c r="G23" i="23"/>
  <c r="AC23" i="23" s="1"/>
  <c r="B22" i="23"/>
  <c r="F31" i="23"/>
  <c r="J29" i="23"/>
  <c r="AF29" i="23" s="1"/>
  <c r="D28" i="23"/>
  <c r="H26" i="23"/>
  <c r="AD26" i="23" s="1"/>
  <c r="B25" i="23"/>
  <c r="F23" i="23"/>
  <c r="AB23" i="23" s="1"/>
  <c r="C31" i="23"/>
  <c r="G29" i="23"/>
  <c r="K27" i="23"/>
  <c r="AG27" i="23" s="1"/>
  <c r="E26" i="23"/>
  <c r="B31" i="23"/>
  <c r="F29" i="23"/>
  <c r="J27" i="23"/>
  <c r="AF27" i="23" s="1"/>
  <c r="D26" i="23"/>
  <c r="H24" i="23"/>
  <c r="AD24" i="23" s="1"/>
  <c r="B23" i="23"/>
  <c r="K30" i="23"/>
  <c r="AG30" i="23" s="1"/>
  <c r="E29" i="23"/>
  <c r="I27" i="23"/>
  <c r="AE27" i="23" s="1"/>
  <c r="C26" i="23"/>
  <c r="G24" i="23"/>
  <c r="AC24" i="23" s="1"/>
  <c r="K22" i="23"/>
  <c r="AG22" i="23" s="1"/>
  <c r="I30" i="23"/>
  <c r="C29" i="23"/>
  <c r="G27" i="23"/>
  <c r="K25" i="23"/>
  <c r="AG25" i="23" s="1"/>
  <c r="E24" i="23"/>
  <c r="AA24" i="23" s="1"/>
  <c r="C30" i="23"/>
  <c r="C27" i="23"/>
  <c r="D24" i="23"/>
  <c r="C22" i="23"/>
  <c r="Y22" i="23" s="1"/>
  <c r="I29" i="23"/>
  <c r="B27" i="23"/>
  <c r="C24" i="23"/>
  <c r="H29" i="23"/>
  <c r="K26" i="23"/>
  <c r="AG26" i="23" s="1"/>
  <c r="B24" i="23"/>
  <c r="D29" i="23"/>
  <c r="G26" i="23"/>
  <c r="AC26" i="23" s="1"/>
  <c r="K23" i="23"/>
  <c r="AG23" i="23" s="1"/>
  <c r="B29" i="23"/>
  <c r="F26" i="23"/>
  <c r="J23" i="23"/>
  <c r="AF23" i="23" s="1"/>
  <c r="K31" i="23"/>
  <c r="K28" i="23"/>
  <c r="AG28" i="23" s="1"/>
  <c r="B26" i="23"/>
  <c r="I23" i="23"/>
  <c r="AE23" i="23" s="1"/>
  <c r="J31" i="23"/>
  <c r="J28" i="23"/>
  <c r="AF28" i="23" s="1"/>
  <c r="J25" i="23"/>
  <c r="AF25" i="23" s="1"/>
  <c r="E23" i="23"/>
  <c r="AA23" i="23" s="1"/>
  <c r="I31" i="23"/>
  <c r="I28" i="23"/>
  <c r="AE28" i="23" s="1"/>
  <c r="I25" i="23"/>
  <c r="AE25" i="23" s="1"/>
  <c r="D23" i="23"/>
  <c r="Z23" i="23" s="1"/>
  <c r="E31" i="23"/>
  <c r="H28" i="23"/>
  <c r="H25" i="23"/>
  <c r="AD25" i="23" s="1"/>
  <c r="C23" i="23"/>
  <c r="D31" i="23"/>
  <c r="G28" i="23"/>
  <c r="G25" i="23"/>
  <c r="AC25" i="23" s="1"/>
  <c r="J22" i="23"/>
  <c r="AF22" i="23" s="1"/>
  <c r="J30" i="23"/>
  <c r="C28" i="23"/>
  <c r="F25" i="23"/>
  <c r="AB25" i="23" s="1"/>
  <c r="I22" i="23"/>
  <c r="AE22" i="23" s="1"/>
  <c r="H30" i="23"/>
  <c r="B28" i="23"/>
  <c r="E25" i="23"/>
  <c r="H22" i="23"/>
  <c r="AD22" i="23" s="1"/>
  <c r="G30" i="23"/>
  <c r="H27" i="23"/>
  <c r="AD27" i="23" s="1"/>
  <c r="K24" i="23"/>
  <c r="AG24" i="23" s="1"/>
  <c r="G22" i="23"/>
  <c r="AC22" i="23" s="1"/>
  <c r="F30" i="23"/>
  <c r="F27" i="23"/>
  <c r="J24" i="23"/>
  <c r="AF24" i="23" s="1"/>
  <c r="F22" i="23"/>
  <c r="AB22" i="23" s="1"/>
  <c r="E30" i="23"/>
  <c r="D30" i="23"/>
  <c r="E27" i="23"/>
  <c r="D27" i="23"/>
  <c r="I24" i="23"/>
  <c r="AE24" i="23" s="1"/>
  <c r="F24" i="23"/>
  <c r="AB24" i="23" s="1"/>
  <c r="E22" i="23"/>
  <c r="AA22" i="23" s="1"/>
  <c r="D22" i="23"/>
  <c r="Z22" i="23" s="1"/>
  <c r="M91" i="10"/>
  <c r="H70" i="23"/>
  <c r="B69" i="23"/>
  <c r="F67" i="23"/>
  <c r="J65" i="23"/>
  <c r="AF65" i="23" s="1"/>
  <c r="D64" i="23"/>
  <c r="H62" i="23"/>
  <c r="AD62" i="23" s="1"/>
  <c r="G70" i="23"/>
  <c r="K68" i="23"/>
  <c r="AG68" i="23" s="1"/>
  <c r="E67" i="23"/>
  <c r="I65" i="23"/>
  <c r="AE65" i="23" s="1"/>
  <c r="C64" i="23"/>
  <c r="G62" i="23"/>
  <c r="AC62" i="23" s="1"/>
  <c r="B61" i="23"/>
  <c r="F70" i="23"/>
  <c r="J68" i="23"/>
  <c r="AF68" i="23" s="1"/>
  <c r="D67" i="23"/>
  <c r="H65" i="23"/>
  <c r="AD65" i="23" s="1"/>
  <c r="B64" i="23"/>
  <c r="F62" i="23"/>
  <c r="AB62" i="23" s="1"/>
  <c r="C70" i="23"/>
  <c r="G68" i="23"/>
  <c r="K66" i="23"/>
  <c r="AG66" i="23" s="1"/>
  <c r="E65" i="23"/>
  <c r="I63" i="23"/>
  <c r="AE63" i="23" s="1"/>
  <c r="C62" i="23"/>
  <c r="B70" i="23"/>
  <c r="F68" i="23"/>
  <c r="J66" i="23"/>
  <c r="AF66" i="23" s="1"/>
  <c r="D65" i="23"/>
  <c r="H63" i="23"/>
  <c r="AD63" i="23" s="1"/>
  <c r="B62" i="23"/>
  <c r="K69" i="23"/>
  <c r="AG69" i="23" s="1"/>
  <c r="E68" i="23"/>
  <c r="I66" i="23"/>
  <c r="AE66" i="23" s="1"/>
  <c r="C65" i="23"/>
  <c r="G63" i="23"/>
  <c r="AC63" i="23" s="1"/>
  <c r="K61" i="23"/>
  <c r="AG61" i="23" s="1"/>
  <c r="I69" i="23"/>
  <c r="C68" i="23"/>
  <c r="G66" i="23"/>
  <c r="K64" i="23"/>
  <c r="AG64" i="23" s="1"/>
  <c r="E63" i="23"/>
  <c r="AA63" i="23" s="1"/>
  <c r="I61" i="23"/>
  <c r="AE61" i="23" s="1"/>
  <c r="J70" i="23"/>
  <c r="J67" i="23"/>
  <c r="AF67" i="23" s="1"/>
  <c r="J64" i="23"/>
  <c r="AF64" i="23" s="1"/>
  <c r="D62" i="23"/>
  <c r="Z62" i="23" s="1"/>
  <c r="I70" i="23"/>
  <c r="I67" i="23"/>
  <c r="AE67" i="23" s="1"/>
  <c r="I64" i="23"/>
  <c r="AE64" i="23" s="1"/>
  <c r="J61" i="23"/>
  <c r="AF61" i="23" s="1"/>
  <c r="E70" i="23"/>
  <c r="H67" i="23"/>
  <c r="H64" i="23"/>
  <c r="AD64" i="23" s="1"/>
  <c r="H61" i="23"/>
  <c r="AD61" i="23" s="1"/>
  <c r="D70" i="23"/>
  <c r="G67" i="23"/>
  <c r="G64" i="23"/>
  <c r="AC64" i="23" s="1"/>
  <c r="G61" i="23"/>
  <c r="AC61" i="23" s="1"/>
  <c r="J69" i="23"/>
  <c r="C67" i="23"/>
  <c r="F64" i="23"/>
  <c r="AB64" i="23" s="1"/>
  <c r="F61" i="23"/>
  <c r="AB61" i="23" s="1"/>
  <c r="H69" i="23"/>
  <c r="B67" i="23"/>
  <c r="E64" i="23"/>
  <c r="E61" i="23"/>
  <c r="AA61" i="23" s="1"/>
  <c r="G69" i="23"/>
  <c r="H66" i="23"/>
  <c r="AD66" i="23" s="1"/>
  <c r="K63" i="23"/>
  <c r="AG63" i="23" s="1"/>
  <c r="D61" i="23"/>
  <c r="Z61" i="23" s="1"/>
  <c r="F69" i="23"/>
  <c r="F66" i="23"/>
  <c r="J63" i="23"/>
  <c r="AF63" i="23" s="1"/>
  <c r="C61" i="23"/>
  <c r="Y61" i="23" s="1"/>
  <c r="E69" i="23"/>
  <c r="E66" i="23"/>
  <c r="F63" i="23"/>
  <c r="AB63" i="23" s="1"/>
  <c r="D69" i="23"/>
  <c r="D66" i="23"/>
  <c r="D63" i="23"/>
  <c r="C69" i="23"/>
  <c r="C66" i="23"/>
  <c r="C63" i="23"/>
  <c r="I68" i="23"/>
  <c r="B66" i="23"/>
  <c r="B63" i="23"/>
  <c r="H68" i="23"/>
  <c r="K65" i="23"/>
  <c r="AG65" i="23" s="1"/>
  <c r="K62" i="23"/>
  <c r="AG62" i="23" s="1"/>
  <c r="D68" i="23"/>
  <c r="G65" i="23"/>
  <c r="AC65" i="23" s="1"/>
  <c r="J62" i="23"/>
  <c r="AF62" i="23" s="1"/>
  <c r="K70" i="23"/>
  <c r="B68" i="23"/>
  <c r="K67" i="23"/>
  <c r="AG67" i="23" s="1"/>
  <c r="F65" i="23"/>
  <c r="B65" i="23"/>
  <c r="I62" i="23"/>
  <c r="AE62" i="23" s="1"/>
  <c r="E62" i="23"/>
  <c r="AA62" i="23" s="1"/>
  <c r="M91" i="21"/>
  <c r="R135" i="23"/>
  <c r="V133" i="23"/>
  <c r="AR133" i="23" s="1"/>
  <c r="P132" i="23"/>
  <c r="T130" i="23"/>
  <c r="AP130" i="23" s="1"/>
  <c r="N129" i="23"/>
  <c r="R127" i="23"/>
  <c r="AN127" i="23" s="1"/>
  <c r="M126" i="23"/>
  <c r="Q135" i="23"/>
  <c r="U133" i="23"/>
  <c r="AQ133" i="23" s="1"/>
  <c r="O132" i="23"/>
  <c r="S130" i="23"/>
  <c r="AO130" i="23" s="1"/>
  <c r="M129" i="23"/>
  <c r="Q127" i="23"/>
  <c r="AM127" i="23" s="1"/>
  <c r="P135" i="23"/>
  <c r="T133" i="23"/>
  <c r="N132" i="23"/>
  <c r="R130" i="23"/>
  <c r="AN130" i="23" s="1"/>
  <c r="V128" i="23"/>
  <c r="AR128" i="23" s="1"/>
  <c r="P127" i="23"/>
  <c r="AL127" i="23" s="1"/>
  <c r="O135" i="23"/>
  <c r="S133" i="23"/>
  <c r="M132" i="23"/>
  <c r="Q130" i="23"/>
  <c r="U128" i="23"/>
  <c r="AQ128" i="23" s="1"/>
  <c r="O127" i="23"/>
  <c r="AK127" i="23" s="1"/>
  <c r="N135" i="23"/>
  <c r="R133" i="23"/>
  <c r="V131" i="23"/>
  <c r="AR131" i="23" s="1"/>
  <c r="P130" i="23"/>
  <c r="T128" i="23"/>
  <c r="AP128" i="23" s="1"/>
  <c r="N127" i="23"/>
  <c r="M135" i="23"/>
  <c r="Q133" i="23"/>
  <c r="U131" i="23"/>
  <c r="AQ131" i="23" s="1"/>
  <c r="O130" i="23"/>
  <c r="S128" i="23"/>
  <c r="AO128" i="23" s="1"/>
  <c r="M127" i="23"/>
  <c r="V134" i="23"/>
  <c r="AR134" i="23" s="1"/>
  <c r="P133" i="23"/>
  <c r="T131" i="23"/>
  <c r="AP131" i="23" s="1"/>
  <c r="N130" i="23"/>
  <c r="R128" i="23"/>
  <c r="AN128" i="23" s="1"/>
  <c r="V126" i="23"/>
  <c r="AR126" i="23" s="1"/>
  <c r="U134" i="23"/>
  <c r="O133" i="23"/>
  <c r="S131" i="23"/>
  <c r="AO131" i="23" s="1"/>
  <c r="M130" i="23"/>
  <c r="Q128" i="23"/>
  <c r="AM128" i="23" s="1"/>
  <c r="U126" i="23"/>
  <c r="AQ126" i="23" s="1"/>
  <c r="T134" i="23"/>
  <c r="N133" i="23"/>
  <c r="R131" i="23"/>
  <c r="V129" i="23"/>
  <c r="AR129" i="23" s="1"/>
  <c r="P128" i="23"/>
  <c r="AL128" i="23" s="1"/>
  <c r="T126" i="23"/>
  <c r="AP126" i="23" s="1"/>
  <c r="S134" i="23"/>
  <c r="M133" i="23"/>
  <c r="Q131" i="23"/>
  <c r="U129" i="23"/>
  <c r="AQ129" i="23" s="1"/>
  <c r="O128" i="23"/>
  <c r="S126" i="23"/>
  <c r="AO126" i="23" s="1"/>
  <c r="R134" i="23"/>
  <c r="V132" i="23"/>
  <c r="AR132" i="23" s="1"/>
  <c r="P131" i="23"/>
  <c r="T129" i="23"/>
  <c r="AP129" i="23" s="1"/>
  <c r="N128" i="23"/>
  <c r="R126" i="23"/>
  <c r="AN126" i="23" s="1"/>
  <c r="Q134" i="23"/>
  <c r="U132" i="23"/>
  <c r="AQ132" i="23" s="1"/>
  <c r="O131" i="23"/>
  <c r="S129" i="23"/>
  <c r="AO129" i="23" s="1"/>
  <c r="M128" i="23"/>
  <c r="Q126" i="23"/>
  <c r="AM126" i="23" s="1"/>
  <c r="U135" i="23"/>
  <c r="O134" i="23"/>
  <c r="S132" i="23"/>
  <c r="M131" i="23"/>
  <c r="Q129" i="23"/>
  <c r="AM129" i="23" s="1"/>
  <c r="U127" i="23"/>
  <c r="AQ127" i="23" s="1"/>
  <c r="O126" i="23"/>
  <c r="AK126" i="23" s="1"/>
  <c r="V127" i="23"/>
  <c r="AR127" i="23" s="1"/>
  <c r="V135" i="23"/>
  <c r="T127" i="23"/>
  <c r="AP127" i="23" s="1"/>
  <c r="T135" i="23"/>
  <c r="S127" i="23"/>
  <c r="AO127" i="23" s="1"/>
  <c r="S135" i="23"/>
  <c r="P126" i="23"/>
  <c r="AL126" i="23" s="1"/>
  <c r="P134" i="23"/>
  <c r="N126" i="23"/>
  <c r="AJ126" i="23" s="1"/>
  <c r="N134" i="23"/>
  <c r="M134" i="23"/>
  <c r="T132" i="23"/>
  <c r="AP132" i="23" s="1"/>
  <c r="R132" i="23"/>
  <c r="Q132" i="23"/>
  <c r="N131" i="23"/>
  <c r="V130" i="23"/>
  <c r="AR130" i="23" s="1"/>
  <c r="U130" i="23"/>
  <c r="AQ130" i="23" s="1"/>
  <c r="R129" i="23"/>
  <c r="AN129" i="23" s="1"/>
  <c r="P129" i="23"/>
  <c r="O129" i="23"/>
  <c r="M91" i="15"/>
  <c r="N92" i="14"/>
  <c r="S56" i="23"/>
  <c r="M55" i="23"/>
  <c r="Q53" i="23"/>
  <c r="U51" i="23"/>
  <c r="AQ51" i="23" s="1"/>
  <c r="R56" i="23"/>
  <c r="V54" i="23"/>
  <c r="AR54" i="23" s="1"/>
  <c r="P53" i="23"/>
  <c r="T51" i="23"/>
  <c r="AP51" i="23" s="1"/>
  <c r="N50" i="23"/>
  <c r="T57" i="23"/>
  <c r="N56" i="23"/>
  <c r="R54" i="23"/>
  <c r="S57" i="23"/>
  <c r="M56" i="23"/>
  <c r="Q54" i="23"/>
  <c r="U57" i="23"/>
  <c r="S55" i="23"/>
  <c r="S53" i="23"/>
  <c r="AO53" i="23" s="1"/>
  <c r="S51" i="23"/>
  <c r="AO51" i="23" s="1"/>
  <c r="V49" i="23"/>
  <c r="AR49" i="23" s="1"/>
  <c r="P48" i="23"/>
  <c r="AL48" i="23" s="1"/>
  <c r="R57" i="23"/>
  <c r="R55" i="23"/>
  <c r="R53" i="23"/>
  <c r="R51" i="23"/>
  <c r="AN51" i="23" s="1"/>
  <c r="U49" i="23"/>
  <c r="AQ49" i="23" s="1"/>
  <c r="O48" i="23"/>
  <c r="AK48" i="23" s="1"/>
  <c r="Q57" i="23"/>
  <c r="Q55" i="23"/>
  <c r="O53" i="23"/>
  <c r="Q51" i="23"/>
  <c r="AM51" i="23" s="1"/>
  <c r="T49" i="23"/>
  <c r="AP49" i="23" s="1"/>
  <c r="N48" i="23"/>
  <c r="AJ48" i="23" s="1"/>
  <c r="P57" i="23"/>
  <c r="P55" i="23"/>
  <c r="N53" i="23"/>
  <c r="P51" i="23"/>
  <c r="S49" i="23"/>
  <c r="AO49" i="23" s="1"/>
  <c r="O57" i="23"/>
  <c r="O55" i="23"/>
  <c r="M53" i="23"/>
  <c r="O51" i="23"/>
  <c r="R49" i="23"/>
  <c r="AN49" i="23" s="1"/>
  <c r="M48" i="23"/>
  <c r="N57" i="23"/>
  <c r="N55" i="23"/>
  <c r="V52" i="23"/>
  <c r="AR52" i="23" s="1"/>
  <c r="N51" i="23"/>
  <c r="Q49" i="23"/>
  <c r="AM49" i="23" s="1"/>
  <c r="M57" i="23"/>
  <c r="U54" i="23"/>
  <c r="AQ54" i="23" s="1"/>
  <c r="U52" i="23"/>
  <c r="AQ52" i="23" s="1"/>
  <c r="M51" i="23"/>
  <c r="P49" i="23"/>
  <c r="AL49" i="23" s="1"/>
  <c r="V56" i="23"/>
  <c r="AR56" i="23" s="1"/>
  <c r="T54" i="23"/>
  <c r="AP54" i="23" s="1"/>
  <c r="T52" i="23"/>
  <c r="AP52" i="23" s="1"/>
  <c r="V50" i="23"/>
  <c r="AR50" i="23" s="1"/>
  <c r="O49" i="23"/>
  <c r="AK49" i="23" s="1"/>
  <c r="U56" i="23"/>
  <c r="S54" i="23"/>
  <c r="S52" i="23"/>
  <c r="AO52" i="23" s="1"/>
  <c r="U50" i="23"/>
  <c r="AQ50" i="23" s="1"/>
  <c r="N49" i="23"/>
  <c r="T56" i="23"/>
  <c r="P54" i="23"/>
  <c r="R52" i="23"/>
  <c r="AN52" i="23" s="1"/>
  <c r="T50" i="23"/>
  <c r="AP50" i="23" s="1"/>
  <c r="M49" i="23"/>
  <c r="Q56" i="23"/>
  <c r="O54" i="23"/>
  <c r="Q52" i="23"/>
  <c r="S50" i="23"/>
  <c r="AO50" i="23" s="1"/>
  <c r="V48" i="23"/>
  <c r="AR48" i="23" s="1"/>
  <c r="P56" i="23"/>
  <c r="N54" i="23"/>
  <c r="P52" i="23"/>
  <c r="R50" i="23"/>
  <c r="AN50" i="23" s="1"/>
  <c r="U48" i="23"/>
  <c r="AQ48" i="23" s="1"/>
  <c r="O56" i="23"/>
  <c r="M54" i="23"/>
  <c r="O52" i="23"/>
  <c r="Q50" i="23"/>
  <c r="AM50" i="23" s="1"/>
  <c r="T48" i="23"/>
  <c r="AP48" i="23" s="1"/>
  <c r="V55" i="23"/>
  <c r="AR55" i="23" s="1"/>
  <c r="V53" i="23"/>
  <c r="AR53" i="23" s="1"/>
  <c r="N52" i="23"/>
  <c r="P50" i="23"/>
  <c r="AL50" i="23" s="1"/>
  <c r="S48" i="23"/>
  <c r="AO48" i="23" s="1"/>
  <c r="V57" i="23"/>
  <c r="U55" i="23"/>
  <c r="AQ55" i="23" s="1"/>
  <c r="T55" i="23"/>
  <c r="U53" i="23"/>
  <c r="AQ53" i="23" s="1"/>
  <c r="T53" i="23"/>
  <c r="AP53" i="23" s="1"/>
  <c r="M52" i="23"/>
  <c r="V51" i="23"/>
  <c r="AR51" i="23" s="1"/>
  <c r="O50" i="23"/>
  <c r="M50" i="23"/>
  <c r="R48" i="23"/>
  <c r="AN48" i="23" s="1"/>
  <c r="Q48" i="23"/>
  <c r="AM48" i="23" s="1"/>
  <c r="M91" i="5"/>
  <c r="M91" i="9"/>
  <c r="S96" i="23"/>
  <c r="M95" i="23"/>
  <c r="Q93" i="23"/>
  <c r="U91" i="23"/>
  <c r="AQ91" i="23" s="1"/>
  <c r="P96" i="23"/>
  <c r="T94" i="23"/>
  <c r="N93" i="23"/>
  <c r="R91" i="23"/>
  <c r="AN91" i="23" s="1"/>
  <c r="M96" i="23"/>
  <c r="O94" i="23"/>
  <c r="Q92" i="23"/>
  <c r="S90" i="23"/>
  <c r="AO90" i="23" s="1"/>
  <c r="M89" i="23"/>
  <c r="Q87" i="23"/>
  <c r="AM87" i="23" s="1"/>
  <c r="V95" i="23"/>
  <c r="AR95" i="23" s="1"/>
  <c r="N94" i="23"/>
  <c r="P92" i="23"/>
  <c r="R90" i="23"/>
  <c r="AN90" i="23" s="1"/>
  <c r="V88" i="23"/>
  <c r="AR88" i="23" s="1"/>
  <c r="P87" i="23"/>
  <c r="AL87" i="23" s="1"/>
  <c r="U95" i="23"/>
  <c r="M94" i="23"/>
  <c r="O92" i="23"/>
  <c r="Q90" i="23"/>
  <c r="AM90" i="23" s="1"/>
  <c r="U88" i="23"/>
  <c r="AQ88" i="23" s="1"/>
  <c r="O87" i="23"/>
  <c r="AK87" i="23" s="1"/>
  <c r="T95" i="23"/>
  <c r="V93" i="23"/>
  <c r="AR93" i="23" s="1"/>
  <c r="N92" i="23"/>
  <c r="P90" i="23"/>
  <c r="T88" i="23"/>
  <c r="AP88" i="23" s="1"/>
  <c r="N87" i="23"/>
  <c r="AJ87" i="23" s="1"/>
  <c r="S95" i="23"/>
  <c r="U93" i="23"/>
  <c r="AQ93" i="23" s="1"/>
  <c r="M92" i="23"/>
  <c r="O90" i="23"/>
  <c r="S88" i="23"/>
  <c r="AO88" i="23" s="1"/>
  <c r="R95" i="23"/>
  <c r="T93" i="23"/>
  <c r="AP93" i="23" s="1"/>
  <c r="V91" i="23"/>
  <c r="AR91" i="23" s="1"/>
  <c r="N90" i="23"/>
  <c r="R88" i="23"/>
  <c r="AN88" i="23" s="1"/>
  <c r="M87" i="23"/>
  <c r="Q95" i="23"/>
  <c r="S93" i="23"/>
  <c r="T91" i="23"/>
  <c r="AP91" i="23" s="1"/>
  <c r="M90" i="23"/>
  <c r="Q88" i="23"/>
  <c r="AM88" i="23" s="1"/>
  <c r="P95" i="23"/>
  <c r="R93" i="23"/>
  <c r="S91" i="23"/>
  <c r="AO91" i="23" s="1"/>
  <c r="V89" i="23"/>
  <c r="AR89" i="23" s="1"/>
  <c r="P88" i="23"/>
  <c r="AL88" i="23" s="1"/>
  <c r="O95" i="23"/>
  <c r="P93" i="23"/>
  <c r="Q91" i="23"/>
  <c r="U89" i="23"/>
  <c r="AQ89" i="23" s="1"/>
  <c r="O88" i="23"/>
  <c r="AK88" i="23" s="1"/>
  <c r="V96" i="23"/>
  <c r="N95" i="23"/>
  <c r="O93" i="23"/>
  <c r="P91" i="23"/>
  <c r="T89" i="23"/>
  <c r="AP89" i="23" s="1"/>
  <c r="N88" i="23"/>
  <c r="U96" i="23"/>
  <c r="V94" i="23"/>
  <c r="AR94" i="23" s="1"/>
  <c r="M93" i="23"/>
  <c r="O91" i="23"/>
  <c r="S89" i="23"/>
  <c r="AO89" i="23" s="1"/>
  <c r="M88" i="23"/>
  <c r="T96" i="23"/>
  <c r="U94" i="23"/>
  <c r="AQ94" i="23" s="1"/>
  <c r="V92" i="23"/>
  <c r="AR92" i="23" s="1"/>
  <c r="N91" i="23"/>
  <c r="R89" i="23"/>
  <c r="AN89" i="23" s="1"/>
  <c r="V87" i="23"/>
  <c r="AR87" i="23" s="1"/>
  <c r="R96" i="23"/>
  <c r="S94" i="23"/>
  <c r="U92" i="23"/>
  <c r="AQ92" i="23" s="1"/>
  <c r="M91" i="23"/>
  <c r="Q89" i="23"/>
  <c r="AM89" i="23" s="1"/>
  <c r="U87" i="23"/>
  <c r="AQ87" i="23" s="1"/>
  <c r="Q96" i="23"/>
  <c r="R94" i="23"/>
  <c r="T92" i="23"/>
  <c r="AP92" i="23" s="1"/>
  <c r="V90" i="23"/>
  <c r="AR90" i="23" s="1"/>
  <c r="P89" i="23"/>
  <c r="AL89" i="23" s="1"/>
  <c r="T87" i="23"/>
  <c r="AP87" i="23" s="1"/>
  <c r="O96" i="23"/>
  <c r="N96" i="23"/>
  <c r="Q94" i="23"/>
  <c r="P94" i="23"/>
  <c r="S92" i="23"/>
  <c r="AO92" i="23" s="1"/>
  <c r="R92" i="23"/>
  <c r="U90" i="23"/>
  <c r="AQ90" i="23" s="1"/>
  <c r="T90" i="23"/>
  <c r="AP90" i="23" s="1"/>
  <c r="O89" i="23"/>
  <c r="N89" i="23"/>
  <c r="S87" i="23"/>
  <c r="AO87" i="23" s="1"/>
  <c r="R87" i="23"/>
  <c r="AN87" i="23" s="1"/>
  <c r="J56" i="23"/>
  <c r="D55" i="23"/>
  <c r="H53" i="23"/>
  <c r="AD53" i="23" s="1"/>
  <c r="B52" i="23"/>
  <c r="F50" i="23"/>
  <c r="AB50" i="23" s="1"/>
  <c r="J48" i="23"/>
  <c r="AF48" i="23" s="1"/>
  <c r="I56" i="23"/>
  <c r="C55" i="23"/>
  <c r="G53" i="23"/>
  <c r="K51" i="23"/>
  <c r="AG51" i="23" s="1"/>
  <c r="E50" i="23"/>
  <c r="AA50" i="23" s="1"/>
  <c r="I48" i="23"/>
  <c r="AE48" i="23" s="1"/>
  <c r="H56" i="23"/>
  <c r="B55" i="23"/>
  <c r="F53" i="23"/>
  <c r="J51" i="23"/>
  <c r="AF51" i="23" s="1"/>
  <c r="D50" i="23"/>
  <c r="H48" i="23"/>
  <c r="AD48" i="23" s="1"/>
  <c r="G56" i="23"/>
  <c r="K54" i="23"/>
  <c r="AG54" i="23" s="1"/>
  <c r="E53" i="23"/>
  <c r="I51" i="23"/>
  <c r="AE51" i="23" s="1"/>
  <c r="C50" i="23"/>
  <c r="G48" i="23"/>
  <c r="AC48" i="23" s="1"/>
  <c r="F56" i="23"/>
  <c r="J54" i="23"/>
  <c r="AF54" i="23" s="1"/>
  <c r="D53" i="23"/>
  <c r="H51" i="23"/>
  <c r="AD51" i="23" s="1"/>
  <c r="B50" i="23"/>
  <c r="F48" i="23"/>
  <c r="AB48" i="23" s="1"/>
  <c r="K57" i="23"/>
  <c r="E56" i="23"/>
  <c r="I54" i="23"/>
  <c r="AE54" i="23" s="1"/>
  <c r="C53" i="23"/>
  <c r="G51" i="23"/>
  <c r="AC51" i="23" s="1"/>
  <c r="K49" i="23"/>
  <c r="AG49" i="23" s="1"/>
  <c r="E48" i="23"/>
  <c r="AA48" i="23" s="1"/>
  <c r="J57" i="23"/>
  <c r="D56" i="23"/>
  <c r="H54" i="23"/>
  <c r="B53" i="23"/>
  <c r="F51" i="23"/>
  <c r="AB51" i="23" s="1"/>
  <c r="J49" i="23"/>
  <c r="AF49" i="23" s="1"/>
  <c r="D48" i="23"/>
  <c r="Z48" i="23" s="1"/>
  <c r="I57" i="23"/>
  <c r="C56" i="23"/>
  <c r="G54" i="23"/>
  <c r="K52" i="23"/>
  <c r="AG52" i="23" s="1"/>
  <c r="E51" i="23"/>
  <c r="I49" i="23"/>
  <c r="AE49" i="23" s="1"/>
  <c r="C48" i="23"/>
  <c r="Y48" i="23" s="1"/>
  <c r="H57" i="23"/>
  <c r="B56" i="23"/>
  <c r="F54" i="23"/>
  <c r="G57" i="23"/>
  <c r="K55" i="23"/>
  <c r="AG55" i="23" s="1"/>
  <c r="E54" i="23"/>
  <c r="I52" i="23"/>
  <c r="AE52" i="23" s="1"/>
  <c r="C51" i="23"/>
  <c r="G49" i="23"/>
  <c r="AC49" i="23" s="1"/>
  <c r="B48" i="23"/>
  <c r="F57" i="23"/>
  <c r="J55" i="23"/>
  <c r="AF55" i="23" s="1"/>
  <c r="D54" i="23"/>
  <c r="H52" i="23"/>
  <c r="AD52" i="23" s="1"/>
  <c r="B51" i="23"/>
  <c r="F49" i="23"/>
  <c r="AB49" i="23" s="1"/>
  <c r="E57" i="23"/>
  <c r="I55" i="23"/>
  <c r="C54" i="23"/>
  <c r="G52" i="23"/>
  <c r="AC52" i="23" s="1"/>
  <c r="K50" i="23"/>
  <c r="AG50" i="23" s="1"/>
  <c r="E49" i="23"/>
  <c r="AA49" i="23" s="1"/>
  <c r="D57" i="23"/>
  <c r="H55" i="23"/>
  <c r="B54" i="23"/>
  <c r="F52" i="23"/>
  <c r="J50" i="23"/>
  <c r="AF50" i="23" s="1"/>
  <c r="D49" i="23"/>
  <c r="Z49" i="23" s="1"/>
  <c r="C57" i="23"/>
  <c r="G55" i="23"/>
  <c r="K53" i="23"/>
  <c r="AG53" i="23" s="1"/>
  <c r="E52" i="23"/>
  <c r="I50" i="23"/>
  <c r="AE50" i="23" s="1"/>
  <c r="C49" i="23"/>
  <c r="B57" i="23"/>
  <c r="K56" i="23"/>
  <c r="AG56" i="23" s="1"/>
  <c r="F55" i="23"/>
  <c r="E55" i="23"/>
  <c r="J53" i="23"/>
  <c r="AF53" i="23" s="1"/>
  <c r="I53" i="23"/>
  <c r="AE53" i="23" s="1"/>
  <c r="J52" i="23"/>
  <c r="AF52" i="23" s="1"/>
  <c r="D52" i="23"/>
  <c r="C52" i="23"/>
  <c r="D51" i="23"/>
  <c r="H50" i="23"/>
  <c r="AD50" i="23" s="1"/>
  <c r="G50" i="23"/>
  <c r="AC50" i="23" s="1"/>
  <c r="H49" i="23"/>
  <c r="AD49" i="23" s="1"/>
  <c r="B49" i="23"/>
  <c r="K48" i="23"/>
  <c r="AG48" i="23" s="1"/>
  <c r="M91" i="17"/>
  <c r="C109" i="23"/>
  <c r="G107" i="23"/>
  <c r="K105" i="23"/>
  <c r="AG105" i="23" s="1"/>
  <c r="E104" i="23"/>
  <c r="I102" i="23"/>
  <c r="AE102" i="23" s="1"/>
  <c r="C101" i="23"/>
  <c r="B109" i="23"/>
  <c r="F107" i="23"/>
  <c r="J105" i="23"/>
  <c r="AF105" i="23" s="1"/>
  <c r="D104" i="23"/>
  <c r="H102" i="23"/>
  <c r="AD102" i="23" s="1"/>
  <c r="B101" i="23"/>
  <c r="K108" i="23"/>
  <c r="AG108" i="23" s="1"/>
  <c r="E107" i="23"/>
  <c r="I105" i="23"/>
  <c r="AE105" i="23" s="1"/>
  <c r="C104" i="23"/>
  <c r="G102" i="23"/>
  <c r="AC102" i="23" s="1"/>
  <c r="K100" i="23"/>
  <c r="AG100" i="23" s="1"/>
  <c r="H108" i="23"/>
  <c r="B107" i="23"/>
  <c r="F105" i="23"/>
  <c r="J103" i="23"/>
  <c r="AF103" i="23" s="1"/>
  <c r="D102" i="23"/>
  <c r="H100" i="23"/>
  <c r="AD100" i="23" s="1"/>
  <c r="F108" i="23"/>
  <c r="J106" i="23"/>
  <c r="AF106" i="23" s="1"/>
  <c r="D105" i="23"/>
  <c r="H103" i="23"/>
  <c r="AD103" i="23" s="1"/>
  <c r="B102" i="23"/>
  <c r="F100" i="23"/>
  <c r="AB100" i="23" s="1"/>
  <c r="K109" i="23"/>
  <c r="E108" i="23"/>
  <c r="I106" i="23"/>
  <c r="AE106" i="23" s="1"/>
  <c r="C105" i="23"/>
  <c r="G103" i="23"/>
  <c r="AC103" i="23" s="1"/>
  <c r="G109" i="23"/>
  <c r="K107" i="23"/>
  <c r="AG107" i="23" s="1"/>
  <c r="E106" i="23"/>
  <c r="I104" i="23"/>
  <c r="AE104" i="23" s="1"/>
  <c r="C103" i="23"/>
  <c r="G101" i="23"/>
  <c r="AC101" i="23" s="1"/>
  <c r="B100" i="23"/>
  <c r="D107" i="23"/>
  <c r="G104" i="23"/>
  <c r="AC104" i="23" s="1"/>
  <c r="I101" i="23"/>
  <c r="AE101" i="23" s="1"/>
  <c r="J109" i="23"/>
  <c r="C107" i="23"/>
  <c r="F104" i="23"/>
  <c r="H101" i="23"/>
  <c r="AD101" i="23" s="1"/>
  <c r="I109" i="23"/>
  <c r="K106" i="23"/>
  <c r="AG106" i="23" s="1"/>
  <c r="B104" i="23"/>
  <c r="F101" i="23"/>
  <c r="AB101" i="23" s="1"/>
  <c r="H109" i="23"/>
  <c r="H106" i="23"/>
  <c r="K103" i="23"/>
  <c r="AG103" i="23" s="1"/>
  <c r="E101" i="23"/>
  <c r="AA101" i="23" s="1"/>
  <c r="F109" i="23"/>
  <c r="G106" i="23"/>
  <c r="I103" i="23"/>
  <c r="AE103" i="23" s="1"/>
  <c r="D101" i="23"/>
  <c r="Z101" i="23" s="1"/>
  <c r="E109" i="23"/>
  <c r="F106" i="23"/>
  <c r="F103" i="23"/>
  <c r="AB103" i="23" s="1"/>
  <c r="J100" i="23"/>
  <c r="AF100" i="23" s="1"/>
  <c r="D109" i="23"/>
  <c r="D106" i="23"/>
  <c r="E103" i="23"/>
  <c r="I100" i="23"/>
  <c r="AE100" i="23" s="1"/>
  <c r="J108" i="23"/>
  <c r="C106" i="23"/>
  <c r="D103" i="23"/>
  <c r="G100" i="23"/>
  <c r="AC100" i="23" s="1"/>
  <c r="I108" i="23"/>
  <c r="B106" i="23"/>
  <c r="B103" i="23"/>
  <c r="E100" i="23"/>
  <c r="AA100" i="23" s="1"/>
  <c r="G108" i="23"/>
  <c r="H105" i="23"/>
  <c r="AD105" i="23" s="1"/>
  <c r="K102" i="23"/>
  <c r="AG102" i="23" s="1"/>
  <c r="D100" i="23"/>
  <c r="Z100" i="23" s="1"/>
  <c r="D108" i="23"/>
  <c r="G105" i="23"/>
  <c r="J102" i="23"/>
  <c r="AF102" i="23" s="1"/>
  <c r="C100" i="23"/>
  <c r="Y100" i="23" s="1"/>
  <c r="C108" i="23"/>
  <c r="E105" i="23"/>
  <c r="F102" i="23"/>
  <c r="AB102" i="23" s="1"/>
  <c r="B108" i="23"/>
  <c r="B105" i="23"/>
  <c r="E102" i="23"/>
  <c r="AA102" i="23" s="1"/>
  <c r="J107" i="23"/>
  <c r="AF107" i="23" s="1"/>
  <c r="K104" i="23"/>
  <c r="AG104" i="23" s="1"/>
  <c r="C102" i="23"/>
  <c r="I107" i="23"/>
  <c r="H107" i="23"/>
  <c r="J104" i="23"/>
  <c r="AF104" i="23" s="1"/>
  <c r="H104" i="23"/>
  <c r="AD104" i="23" s="1"/>
  <c r="K101" i="23"/>
  <c r="AG101" i="23" s="1"/>
  <c r="J101" i="23"/>
  <c r="AF101" i="23" s="1"/>
  <c r="M91" i="3"/>
  <c r="N31" i="23"/>
  <c r="R29" i="23"/>
  <c r="V27" i="23"/>
  <c r="AR27" i="23" s="1"/>
  <c r="P26" i="23"/>
  <c r="T24" i="23"/>
  <c r="AP24" i="23" s="1"/>
  <c r="N23" i="23"/>
  <c r="M31" i="23"/>
  <c r="Q29" i="23"/>
  <c r="U27" i="23"/>
  <c r="AQ27" i="23" s="1"/>
  <c r="O26" i="23"/>
  <c r="S24" i="23"/>
  <c r="AO24" i="23" s="1"/>
  <c r="M23" i="23"/>
  <c r="V30" i="23"/>
  <c r="AR30" i="23" s="1"/>
  <c r="P29" i="23"/>
  <c r="T27" i="23"/>
  <c r="AP27" i="23" s="1"/>
  <c r="N26" i="23"/>
  <c r="R24" i="23"/>
  <c r="AN24" i="23" s="1"/>
  <c r="V22" i="23"/>
  <c r="AR22" i="23" s="1"/>
  <c r="S30" i="23"/>
  <c r="M29" i="23"/>
  <c r="Q27" i="23"/>
  <c r="U25" i="23"/>
  <c r="AQ25" i="23" s="1"/>
  <c r="O24" i="23"/>
  <c r="S22" i="23"/>
  <c r="AO22" i="23" s="1"/>
  <c r="R30" i="23"/>
  <c r="V28" i="23"/>
  <c r="AR28" i="23" s="1"/>
  <c r="P27" i="23"/>
  <c r="T25" i="23"/>
  <c r="AP25" i="23" s="1"/>
  <c r="N24" i="23"/>
  <c r="R22" i="23"/>
  <c r="AN22" i="23" s="1"/>
  <c r="Q30" i="23"/>
  <c r="U28" i="23"/>
  <c r="AQ28" i="23" s="1"/>
  <c r="O27" i="23"/>
  <c r="S25" i="23"/>
  <c r="AO25" i="23" s="1"/>
  <c r="M24" i="23"/>
  <c r="Q22" i="23"/>
  <c r="AM22" i="23" s="1"/>
  <c r="U31" i="23"/>
  <c r="O30" i="23"/>
  <c r="S28" i="23"/>
  <c r="M27" i="23"/>
  <c r="Q25" i="23"/>
  <c r="AM25" i="23" s="1"/>
  <c r="U23" i="23"/>
  <c r="AQ23" i="23" s="1"/>
  <c r="O22" i="23"/>
  <c r="AK22" i="23" s="1"/>
  <c r="P31" i="23"/>
  <c r="P28" i="23"/>
  <c r="P25" i="23"/>
  <c r="T22" i="23"/>
  <c r="AP22" i="23" s="1"/>
  <c r="O31" i="23"/>
  <c r="O28" i="23"/>
  <c r="O25" i="23"/>
  <c r="P22" i="23"/>
  <c r="AL22" i="23" s="1"/>
  <c r="U30" i="23"/>
  <c r="N28" i="23"/>
  <c r="N25" i="23"/>
  <c r="N22" i="23"/>
  <c r="AJ22" i="23" s="1"/>
  <c r="T30" i="23"/>
  <c r="M28" i="23"/>
  <c r="M25" i="23"/>
  <c r="P30" i="23"/>
  <c r="S27" i="23"/>
  <c r="AO27" i="23" s="1"/>
  <c r="V24" i="23"/>
  <c r="AR24" i="23" s="1"/>
  <c r="M22" i="23"/>
  <c r="N30" i="23"/>
  <c r="R27" i="23"/>
  <c r="U24" i="23"/>
  <c r="AQ24" i="23" s="1"/>
  <c r="M30" i="23"/>
  <c r="N27" i="23"/>
  <c r="Q24" i="23"/>
  <c r="AM24" i="23" s="1"/>
  <c r="V29" i="23"/>
  <c r="AR29" i="23" s="1"/>
  <c r="V26" i="23"/>
  <c r="AR26" i="23" s="1"/>
  <c r="P24" i="23"/>
  <c r="AL24" i="23" s="1"/>
  <c r="U29" i="23"/>
  <c r="AQ29" i="23" s="1"/>
  <c r="U26" i="23"/>
  <c r="AQ26" i="23" s="1"/>
  <c r="V23" i="23"/>
  <c r="AR23" i="23" s="1"/>
  <c r="T29" i="23"/>
  <c r="T26" i="23"/>
  <c r="AP26" i="23" s="1"/>
  <c r="T23" i="23"/>
  <c r="AP23" i="23" s="1"/>
  <c r="S29" i="23"/>
  <c r="S26" i="23"/>
  <c r="AO26" i="23" s="1"/>
  <c r="S23" i="23"/>
  <c r="AO23" i="23" s="1"/>
  <c r="V31" i="23"/>
  <c r="O29" i="23"/>
  <c r="R26" i="23"/>
  <c r="AN26" i="23" s="1"/>
  <c r="R23" i="23"/>
  <c r="AN23" i="23" s="1"/>
  <c r="T31" i="23"/>
  <c r="N29" i="23"/>
  <c r="Q26" i="23"/>
  <c r="Q23" i="23"/>
  <c r="AM23" i="23" s="1"/>
  <c r="S31" i="23"/>
  <c r="T28" i="23"/>
  <c r="AP28" i="23" s="1"/>
  <c r="M26" i="23"/>
  <c r="P23" i="23"/>
  <c r="AL23" i="23" s="1"/>
  <c r="R28" i="23"/>
  <c r="Q28" i="23"/>
  <c r="V25" i="23"/>
  <c r="AR25" i="23" s="1"/>
  <c r="R25" i="23"/>
  <c r="AN25" i="23" s="1"/>
  <c r="O23" i="23"/>
  <c r="AK23" i="23" s="1"/>
  <c r="U22" i="23"/>
  <c r="AQ22" i="23" s="1"/>
  <c r="R31" i="23"/>
  <c r="Q31" i="23"/>
  <c r="Q18" i="23"/>
  <c r="U16" i="23"/>
  <c r="AQ16" i="23" s="1"/>
  <c r="O15" i="23"/>
  <c r="S13" i="23"/>
  <c r="AO13" i="23" s="1"/>
  <c r="M12" i="23"/>
  <c r="Q10" i="23"/>
  <c r="AM10" i="23" s="1"/>
  <c r="P18" i="23"/>
  <c r="T16" i="23"/>
  <c r="N15" i="23"/>
  <c r="R13" i="23"/>
  <c r="AN13" i="23" s="1"/>
  <c r="V11" i="23"/>
  <c r="AR11" i="23" s="1"/>
  <c r="P10" i="23"/>
  <c r="AL10" i="23" s="1"/>
  <c r="O18" i="23"/>
  <c r="S16" i="23"/>
  <c r="M15" i="23"/>
  <c r="Q13" i="23"/>
  <c r="U11" i="23"/>
  <c r="AQ11" i="23" s="1"/>
  <c r="O10" i="23"/>
  <c r="AK10" i="23" s="1"/>
  <c r="N18" i="23"/>
  <c r="R16" i="23"/>
  <c r="V14" i="23"/>
  <c r="AR14" i="23" s="1"/>
  <c r="P13" i="23"/>
  <c r="T11" i="23"/>
  <c r="AP11" i="23" s="1"/>
  <c r="N10" i="23"/>
  <c r="M18" i="23"/>
  <c r="Q16" i="23"/>
  <c r="U14" i="23"/>
  <c r="AQ14" i="23" s="1"/>
  <c r="O13" i="23"/>
  <c r="S11" i="23"/>
  <c r="AO11" i="23" s="1"/>
  <c r="M10" i="23"/>
  <c r="V17" i="23"/>
  <c r="AR17" i="23" s="1"/>
  <c r="P16" i="23"/>
  <c r="T14" i="23"/>
  <c r="AP14" i="23" s="1"/>
  <c r="N13" i="23"/>
  <c r="R11" i="23"/>
  <c r="AN11" i="23" s="1"/>
  <c r="V9" i="23"/>
  <c r="AR9" i="23" s="1"/>
  <c r="U17" i="23"/>
  <c r="O16" i="23"/>
  <c r="S14" i="23"/>
  <c r="AO14" i="23" s="1"/>
  <c r="M13" i="23"/>
  <c r="Q11" i="23"/>
  <c r="AM11" i="23" s="1"/>
  <c r="U9" i="23"/>
  <c r="AQ9" i="23" s="1"/>
  <c r="T17" i="23"/>
  <c r="N16" i="23"/>
  <c r="R14" i="23"/>
  <c r="V12" i="23"/>
  <c r="AR12" i="23" s="1"/>
  <c r="P11" i="23"/>
  <c r="AL11" i="23" s="1"/>
  <c r="T9" i="23"/>
  <c r="AP9" i="23" s="1"/>
  <c r="S17" i="23"/>
  <c r="M16" i="23"/>
  <c r="Q14" i="23"/>
  <c r="U12" i="23"/>
  <c r="AQ12" i="23" s="1"/>
  <c r="O11" i="23"/>
  <c r="S9" i="23"/>
  <c r="AO9" i="23" s="1"/>
  <c r="R17" i="23"/>
  <c r="V15" i="23"/>
  <c r="AR15" i="23" s="1"/>
  <c r="P14" i="23"/>
  <c r="T12" i="23"/>
  <c r="AP12" i="23" s="1"/>
  <c r="N11" i="23"/>
  <c r="R9" i="23"/>
  <c r="AN9" i="23" s="1"/>
  <c r="Q17" i="23"/>
  <c r="U15" i="23"/>
  <c r="AQ15" i="23" s="1"/>
  <c r="O14" i="23"/>
  <c r="S12" i="23"/>
  <c r="AO12" i="23" s="1"/>
  <c r="M11" i="23"/>
  <c r="Q9" i="23"/>
  <c r="AM9" i="23" s="1"/>
  <c r="V18" i="23"/>
  <c r="P17" i="23"/>
  <c r="T15" i="23"/>
  <c r="AP15" i="23" s="1"/>
  <c r="N14" i="23"/>
  <c r="R12" i="23"/>
  <c r="AN12" i="23" s="1"/>
  <c r="V10" i="23"/>
  <c r="AR10" i="23" s="1"/>
  <c r="P9" i="23"/>
  <c r="AL9" i="23" s="1"/>
  <c r="U18" i="23"/>
  <c r="O17" i="23"/>
  <c r="S15" i="23"/>
  <c r="M14" i="23"/>
  <c r="Q12" i="23"/>
  <c r="AM12" i="23" s="1"/>
  <c r="U10" i="23"/>
  <c r="AQ10" i="23" s="1"/>
  <c r="O9" i="23"/>
  <c r="AK9" i="23" s="1"/>
  <c r="T18" i="23"/>
  <c r="N17" i="23"/>
  <c r="R15" i="23"/>
  <c r="V13" i="23"/>
  <c r="AR13" i="23" s="1"/>
  <c r="P12" i="23"/>
  <c r="T10" i="23"/>
  <c r="AP10" i="23" s="1"/>
  <c r="N9" i="23"/>
  <c r="AJ9" i="23" s="1"/>
  <c r="M17" i="23"/>
  <c r="V16" i="23"/>
  <c r="AR16" i="23" s="1"/>
  <c r="Q15" i="23"/>
  <c r="P15" i="23"/>
  <c r="U13" i="23"/>
  <c r="AQ13" i="23" s="1"/>
  <c r="T13" i="23"/>
  <c r="AP13" i="23" s="1"/>
  <c r="O12" i="23"/>
  <c r="N12" i="23"/>
  <c r="S10" i="23"/>
  <c r="AO10" i="23" s="1"/>
  <c r="R10" i="23"/>
  <c r="AN10" i="23" s="1"/>
  <c r="M9" i="23"/>
  <c r="S18" i="23"/>
  <c r="R18" i="23"/>
  <c r="M101" i="19" l="1"/>
  <c r="N93" i="6"/>
  <c r="N91" i="8"/>
  <c r="Q81" i="8" s="1"/>
  <c r="N92" i="8"/>
  <c r="R81" i="8" s="1"/>
  <c r="N93" i="8"/>
  <c r="N92" i="19"/>
  <c r="R81" i="19" s="1"/>
  <c r="N93" i="19"/>
  <c r="N92" i="16"/>
  <c r="R81" i="16" s="1"/>
  <c r="N93" i="16"/>
  <c r="N91" i="16"/>
  <c r="E114" i="6"/>
  <c r="S81" i="6"/>
  <c r="S80" i="6"/>
  <c r="AG16" i="23"/>
  <c r="AA9" i="23"/>
  <c r="AB11" i="23"/>
  <c r="AD14" i="23"/>
  <c r="R81" i="14"/>
  <c r="AG13" i="23"/>
  <c r="AG9" i="23"/>
  <c r="AC11" i="23"/>
  <c r="N93" i="7"/>
  <c r="N93" i="14"/>
  <c r="R81" i="6"/>
  <c r="Q79" i="8"/>
  <c r="Q80" i="8"/>
  <c r="N101" i="8"/>
  <c r="M17" i="8" s="1"/>
  <c r="R80" i="6"/>
  <c r="Q79" i="14"/>
  <c r="Q80" i="14"/>
  <c r="Y9" i="23"/>
  <c r="C9" i="23" s="1"/>
  <c r="AE11" i="23"/>
  <c r="AE10" i="23"/>
  <c r="AD9" i="23"/>
  <c r="AB10" i="23"/>
  <c r="M101" i="10"/>
  <c r="AC12" i="23"/>
  <c r="AE15" i="23"/>
  <c r="AG14" i="23"/>
  <c r="M101" i="5"/>
  <c r="N92" i="5" s="1"/>
  <c r="M101" i="12"/>
  <c r="M101" i="18"/>
  <c r="AF12" i="23"/>
  <c r="AD13" i="23"/>
  <c r="M101" i="13"/>
  <c r="N91" i="13"/>
  <c r="M101" i="17"/>
  <c r="M101" i="21"/>
  <c r="AB9" i="23"/>
  <c r="Z10" i="23"/>
  <c r="D10" i="23" s="1"/>
  <c r="C11" i="23" s="1"/>
  <c r="AF16" i="23"/>
  <c r="M101" i="20"/>
  <c r="N91" i="20"/>
  <c r="M101" i="22"/>
  <c r="N92" i="22" s="1"/>
  <c r="N91" i="6"/>
  <c r="Q81" i="6" s="1"/>
  <c r="AC10" i="23"/>
  <c r="AE14" i="23"/>
  <c r="AF11" i="23"/>
  <c r="R80" i="19"/>
  <c r="AD10" i="23"/>
  <c r="Z9" i="23"/>
  <c r="D9" i="23" s="1"/>
  <c r="B11" i="23" s="1"/>
  <c r="AD12" i="23"/>
  <c r="AE9" i="23"/>
  <c r="D113" i="14"/>
  <c r="R80" i="14"/>
  <c r="R79" i="14"/>
  <c r="N91" i="19"/>
  <c r="AF10" i="23"/>
  <c r="AA11" i="23"/>
  <c r="AG17" i="23"/>
  <c r="M101" i="15"/>
  <c r="R80" i="8"/>
  <c r="D113" i="8"/>
  <c r="R79" i="8"/>
  <c r="M101" i="4"/>
  <c r="N91" i="7"/>
  <c r="Q81" i="7" s="1"/>
  <c r="AG10" i="23"/>
  <c r="AB12" i="23"/>
  <c r="AF15" i="23"/>
  <c r="AG12" i="23"/>
  <c r="R80" i="7"/>
  <c r="M101" i="3"/>
  <c r="N91" i="3" s="1"/>
  <c r="AG15" i="23"/>
  <c r="AE13" i="23"/>
  <c r="AD11" i="23"/>
  <c r="Q80" i="16"/>
  <c r="Q79" i="16"/>
  <c r="AF13" i="23"/>
  <c r="AC9" i="23"/>
  <c r="AA10" i="23"/>
  <c r="R80" i="16"/>
  <c r="D113" i="16"/>
  <c r="R79" i="16"/>
  <c r="AF14" i="23"/>
  <c r="AG11" i="23"/>
  <c r="M101" i="11"/>
  <c r="AE12" i="23"/>
  <c r="AF9" i="23"/>
  <c r="AC13" i="23"/>
  <c r="M101" i="9"/>
  <c r="N91" i="9" s="1"/>
  <c r="D113" i="7" l="1"/>
  <c r="P81" i="6"/>
  <c r="O93" i="6" s="1"/>
  <c r="R79" i="7"/>
  <c r="N92" i="9"/>
  <c r="R81" i="9" s="1"/>
  <c r="N93" i="9"/>
  <c r="N91" i="22"/>
  <c r="N91" i="5"/>
  <c r="N92" i="3"/>
  <c r="R81" i="3" s="1"/>
  <c r="N93" i="3"/>
  <c r="Q81" i="3" s="1"/>
  <c r="D113" i="19"/>
  <c r="D102" i="19" s="1"/>
  <c r="Q81" i="19"/>
  <c r="N92" i="20"/>
  <c r="R81" i="20" s="1"/>
  <c r="N93" i="20"/>
  <c r="E113" i="14"/>
  <c r="E114" i="14"/>
  <c r="S81" i="14"/>
  <c r="S80" i="14"/>
  <c r="P80" i="14" s="1"/>
  <c r="O92" i="14" s="1"/>
  <c r="S79" i="14"/>
  <c r="P79" i="14" s="1"/>
  <c r="N92" i="11"/>
  <c r="R80" i="11" s="1"/>
  <c r="N93" i="11"/>
  <c r="E114" i="7"/>
  <c r="E113" i="7"/>
  <c r="S81" i="7"/>
  <c r="S80" i="7"/>
  <c r="S79" i="7"/>
  <c r="S79" i="6"/>
  <c r="N92" i="10"/>
  <c r="N93" i="10"/>
  <c r="E103" i="6"/>
  <c r="E125" i="6"/>
  <c r="N92" i="15"/>
  <c r="N93" i="15"/>
  <c r="E113" i="6"/>
  <c r="Q81" i="9"/>
  <c r="N92" i="21"/>
  <c r="R81" i="21" s="1"/>
  <c r="N93" i="21"/>
  <c r="Q81" i="16"/>
  <c r="N101" i="16"/>
  <c r="M17" i="16" s="1"/>
  <c r="N92" i="17"/>
  <c r="N93" i="17"/>
  <c r="N93" i="22"/>
  <c r="E113" i="16"/>
  <c r="S81" i="16"/>
  <c r="E114" i="16"/>
  <c r="S79" i="16"/>
  <c r="P79" i="16" s="1"/>
  <c r="O91" i="16" s="1"/>
  <c r="S80" i="16"/>
  <c r="P80" i="16" s="1"/>
  <c r="O92" i="16" s="1"/>
  <c r="N92" i="12"/>
  <c r="R81" i="12" s="1"/>
  <c r="N93" i="12"/>
  <c r="N92" i="13"/>
  <c r="N93" i="13"/>
  <c r="N101" i="13" s="1"/>
  <c r="M17" i="13" s="1"/>
  <c r="E114" i="19"/>
  <c r="E113" i="19"/>
  <c r="S81" i="19"/>
  <c r="S79" i="19"/>
  <c r="S80" i="19"/>
  <c r="R81" i="22"/>
  <c r="N91" i="15"/>
  <c r="N101" i="14"/>
  <c r="M17" i="14" s="1"/>
  <c r="P46" i="14" s="1"/>
  <c r="M46" i="14" s="1"/>
  <c r="N46" i="14" s="1"/>
  <c r="N93" i="5"/>
  <c r="Q81" i="20"/>
  <c r="R81" i="7"/>
  <c r="E113" i="8"/>
  <c r="S81" i="8"/>
  <c r="P81" i="8" s="1"/>
  <c r="O93" i="8" s="1"/>
  <c r="E114" i="8"/>
  <c r="S79" i="8"/>
  <c r="S80" i="8"/>
  <c r="P80" i="8" s="1"/>
  <c r="N92" i="4"/>
  <c r="R81" i="4" s="1"/>
  <c r="N93" i="4"/>
  <c r="N92" i="18"/>
  <c r="N93" i="18"/>
  <c r="Q81" i="14"/>
  <c r="P81" i="14" s="1"/>
  <c r="O93" i="14" s="1"/>
  <c r="N91" i="12"/>
  <c r="Q81" i="12" s="1"/>
  <c r="B10" i="23"/>
  <c r="C50" i="2" s="1" a="1"/>
  <c r="Q79" i="6"/>
  <c r="Q80" i="6"/>
  <c r="P80" i="6" s="1"/>
  <c r="N101" i="6"/>
  <c r="M17" i="6" s="1"/>
  <c r="N91" i="18"/>
  <c r="R79" i="18" s="1"/>
  <c r="P62" i="14"/>
  <c r="M62" i="14" s="1"/>
  <c r="N62" i="14" s="1"/>
  <c r="Q79" i="9"/>
  <c r="Q80" i="9"/>
  <c r="N101" i="9"/>
  <c r="M17" i="9" s="1"/>
  <c r="R79" i="9"/>
  <c r="R80" i="9"/>
  <c r="D113" i="9"/>
  <c r="D113" i="22"/>
  <c r="R80" i="22"/>
  <c r="R79" i="22"/>
  <c r="Q79" i="20"/>
  <c r="Q80" i="20"/>
  <c r="N101" i="20"/>
  <c r="M17" i="20" s="1"/>
  <c r="R80" i="12"/>
  <c r="Q80" i="7"/>
  <c r="P80" i="7" s="1"/>
  <c r="Q79" i="7"/>
  <c r="N101" i="7"/>
  <c r="M17" i="7" s="1"/>
  <c r="R80" i="20"/>
  <c r="D113" i="20"/>
  <c r="R79" i="20"/>
  <c r="Q79" i="5"/>
  <c r="Q80" i="5"/>
  <c r="N91" i="4"/>
  <c r="Q81" i="4" s="1"/>
  <c r="R80" i="5"/>
  <c r="D113" i="5"/>
  <c r="R79" i="5"/>
  <c r="R79" i="6"/>
  <c r="D113" i="6"/>
  <c r="Q79" i="22"/>
  <c r="Q80" i="22"/>
  <c r="N101" i="22"/>
  <c r="M17" i="22" s="1"/>
  <c r="D102" i="8"/>
  <c r="D124" i="8"/>
  <c r="R79" i="19"/>
  <c r="R80" i="21"/>
  <c r="R80" i="3"/>
  <c r="N91" i="21"/>
  <c r="Q81" i="21" s="1"/>
  <c r="N91" i="10"/>
  <c r="Q81" i="10" s="1"/>
  <c r="D113" i="18"/>
  <c r="R80" i="18"/>
  <c r="C64" i="2" a="1"/>
  <c r="Q79" i="3"/>
  <c r="Q80" i="3"/>
  <c r="N101" i="3"/>
  <c r="M17" i="3" s="1"/>
  <c r="N91" i="17"/>
  <c r="Q81" i="17" s="1"/>
  <c r="R80" i="10"/>
  <c r="P61" i="8"/>
  <c r="M61" i="8" s="1"/>
  <c r="N61" i="8" s="1"/>
  <c r="P45" i="8"/>
  <c r="M45" i="8" s="1"/>
  <c r="N45" i="8" s="1"/>
  <c r="P29" i="8"/>
  <c r="M29" i="8" s="1"/>
  <c r="N29" i="8" s="1"/>
  <c r="P54" i="8"/>
  <c r="M54" i="8" s="1"/>
  <c r="N54" i="8" s="1"/>
  <c r="P38" i="8"/>
  <c r="M38" i="8" s="1"/>
  <c r="N38" i="8" s="1"/>
  <c r="P22" i="8"/>
  <c r="M22" i="8" s="1"/>
  <c r="N22" i="8" s="1"/>
  <c r="P63" i="8"/>
  <c r="M63" i="8" s="1"/>
  <c r="N63" i="8" s="1"/>
  <c r="P47" i="8"/>
  <c r="M47" i="8" s="1"/>
  <c r="N47" i="8" s="1"/>
  <c r="P31" i="8"/>
  <c r="M31" i="8" s="1"/>
  <c r="N31" i="8" s="1"/>
  <c r="P56" i="8"/>
  <c r="M56" i="8" s="1"/>
  <c r="N56" i="8" s="1"/>
  <c r="P40" i="8"/>
  <c r="M40" i="8" s="1"/>
  <c r="N40" i="8" s="1"/>
  <c r="P24" i="8"/>
  <c r="M24" i="8" s="1"/>
  <c r="N24" i="8" s="1"/>
  <c r="P65" i="8"/>
  <c r="M65" i="8" s="1"/>
  <c r="N65" i="8" s="1"/>
  <c r="P49" i="8"/>
  <c r="M49" i="8" s="1"/>
  <c r="N49" i="8" s="1"/>
  <c r="P33" i="8"/>
  <c r="M33" i="8" s="1"/>
  <c r="N33" i="8" s="1"/>
  <c r="P58" i="8"/>
  <c r="M58" i="8" s="1"/>
  <c r="N58" i="8" s="1"/>
  <c r="P42" i="8"/>
  <c r="M42" i="8" s="1"/>
  <c r="N42" i="8" s="1"/>
  <c r="P26" i="8"/>
  <c r="M26" i="8" s="1"/>
  <c r="N26" i="8" s="1"/>
  <c r="P60" i="8"/>
  <c r="M60" i="8" s="1"/>
  <c r="N60" i="8" s="1"/>
  <c r="P44" i="8"/>
  <c r="M44" i="8" s="1"/>
  <c r="N44" i="8" s="1"/>
  <c r="P28" i="8"/>
  <c r="M28" i="8" s="1"/>
  <c r="N28" i="8" s="1"/>
  <c r="P53" i="8"/>
  <c r="M53" i="8" s="1"/>
  <c r="N53" i="8" s="1"/>
  <c r="P37" i="8"/>
  <c r="M37" i="8" s="1"/>
  <c r="N37" i="8" s="1"/>
  <c r="P21" i="8"/>
  <c r="M21" i="8" s="1"/>
  <c r="N21" i="8" s="1"/>
  <c r="P62" i="8"/>
  <c r="M62" i="8" s="1"/>
  <c r="N62" i="8" s="1"/>
  <c r="P46" i="8"/>
  <c r="M46" i="8" s="1"/>
  <c r="N46" i="8" s="1"/>
  <c r="P30" i="8"/>
  <c r="M30" i="8" s="1"/>
  <c r="N30" i="8" s="1"/>
  <c r="P55" i="8"/>
  <c r="M55" i="8" s="1"/>
  <c r="N55" i="8" s="1"/>
  <c r="P39" i="8"/>
  <c r="M39" i="8" s="1"/>
  <c r="N39" i="8" s="1"/>
  <c r="P23" i="8"/>
  <c r="M23" i="8" s="1"/>
  <c r="N23" i="8" s="1"/>
  <c r="P64" i="8"/>
  <c r="M64" i="8" s="1"/>
  <c r="N64" i="8" s="1"/>
  <c r="P48" i="8"/>
  <c r="M48" i="8" s="1"/>
  <c r="N48" i="8" s="1"/>
  <c r="P32" i="8"/>
  <c r="M32" i="8" s="1"/>
  <c r="N32" i="8" s="1"/>
  <c r="P57" i="8"/>
  <c r="M57" i="8" s="1"/>
  <c r="N57" i="8" s="1"/>
  <c r="P41" i="8"/>
  <c r="M41" i="8" s="1"/>
  <c r="N41" i="8" s="1"/>
  <c r="P25" i="8"/>
  <c r="M25" i="8" s="1"/>
  <c r="N25" i="8" s="1"/>
  <c r="P50" i="8"/>
  <c r="M50" i="8" s="1"/>
  <c r="N50" i="8" s="1"/>
  <c r="P34" i="8"/>
  <c r="M34" i="8" s="1"/>
  <c r="N34" i="8" s="1"/>
  <c r="P59" i="8"/>
  <c r="M59" i="8" s="1"/>
  <c r="N59" i="8" s="1"/>
  <c r="P43" i="8"/>
  <c r="M43" i="8" s="1"/>
  <c r="N43" i="8" s="1"/>
  <c r="P27" i="8"/>
  <c r="M27" i="8" s="1"/>
  <c r="N27" i="8" s="1"/>
  <c r="P52" i="8"/>
  <c r="M52" i="8" s="1"/>
  <c r="N52" i="8" s="1"/>
  <c r="P51" i="8"/>
  <c r="M51" i="8" s="1"/>
  <c r="N51" i="8" s="1"/>
  <c r="P36" i="8"/>
  <c r="M36" i="8" s="1"/>
  <c r="N36" i="8" s="1"/>
  <c r="P35" i="8"/>
  <c r="M35" i="8" s="1"/>
  <c r="N35" i="8" s="1"/>
  <c r="N91" i="11"/>
  <c r="Q81" i="11" s="1"/>
  <c r="D102" i="16"/>
  <c r="D124" i="16"/>
  <c r="D102" i="7"/>
  <c r="D124" i="7"/>
  <c r="R80" i="17"/>
  <c r="R79" i="17"/>
  <c r="D102" i="14"/>
  <c r="D124" i="14"/>
  <c r="R80" i="15"/>
  <c r="Q79" i="13"/>
  <c r="Q80" i="13"/>
  <c r="P79" i="8"/>
  <c r="Q79" i="15"/>
  <c r="D113" i="13"/>
  <c r="R80" i="13"/>
  <c r="R79" i="13"/>
  <c r="D113" i="4"/>
  <c r="R80" i="4"/>
  <c r="Q79" i="19"/>
  <c r="Q80" i="19"/>
  <c r="P80" i="19" s="1"/>
  <c r="N101" i="19"/>
  <c r="M17" i="19" s="1"/>
  <c r="D124" i="19" l="1"/>
  <c r="R79" i="3"/>
  <c r="D113" i="3"/>
  <c r="R81" i="13"/>
  <c r="R81" i="15"/>
  <c r="Q81" i="15"/>
  <c r="P79" i="7"/>
  <c r="O91" i="7" s="1"/>
  <c r="P25" i="14"/>
  <c r="M25" i="14" s="1"/>
  <c r="N25" i="14" s="1"/>
  <c r="R81" i="18"/>
  <c r="P36" i="14"/>
  <c r="M36" i="14" s="1"/>
  <c r="N36" i="14" s="1"/>
  <c r="P27" i="14"/>
  <c r="M27" i="14" s="1"/>
  <c r="N27" i="14" s="1"/>
  <c r="P35" i="14"/>
  <c r="M35" i="14" s="1"/>
  <c r="N35" i="14" s="1"/>
  <c r="P52" i="14"/>
  <c r="M52" i="14" s="1"/>
  <c r="N52" i="14" s="1"/>
  <c r="P21" i="14"/>
  <c r="M21" i="14" s="1"/>
  <c r="N21" i="14" s="1"/>
  <c r="E114" i="5"/>
  <c r="S81" i="5"/>
  <c r="E113" i="5"/>
  <c r="S79" i="5"/>
  <c r="S80" i="5"/>
  <c r="P26" i="14"/>
  <c r="M26" i="14" s="1"/>
  <c r="N26" i="14" s="1"/>
  <c r="P43" i="14"/>
  <c r="M43" i="14" s="1"/>
  <c r="N43" i="14" s="1"/>
  <c r="P53" i="14"/>
  <c r="M53" i="14" s="1"/>
  <c r="N53" i="14" s="1"/>
  <c r="E113" i="18"/>
  <c r="S81" i="18"/>
  <c r="E114" i="18"/>
  <c r="S79" i="18"/>
  <c r="S80" i="18"/>
  <c r="E103" i="16"/>
  <c r="E125" i="16"/>
  <c r="S81" i="10"/>
  <c r="E114" i="10"/>
  <c r="E113" i="10"/>
  <c r="S79" i="10"/>
  <c r="S80" i="10"/>
  <c r="P80" i="22"/>
  <c r="O92" i="22" s="1"/>
  <c r="R79" i="12"/>
  <c r="P42" i="14"/>
  <c r="M42" i="14" s="1"/>
  <c r="N42" i="14" s="1"/>
  <c r="P59" i="14"/>
  <c r="M59" i="14" s="1"/>
  <c r="N59" i="14" s="1"/>
  <c r="P28" i="14"/>
  <c r="M28" i="14" s="1"/>
  <c r="N28" i="14" s="1"/>
  <c r="R81" i="10"/>
  <c r="P81" i="10" s="1"/>
  <c r="O93" i="10" s="1"/>
  <c r="E125" i="14"/>
  <c r="E103" i="14"/>
  <c r="N101" i="15"/>
  <c r="M17" i="15" s="1"/>
  <c r="D113" i="17"/>
  <c r="D124" i="17" s="1"/>
  <c r="P58" i="14"/>
  <c r="M58" i="14" s="1"/>
  <c r="N58" i="14" s="1"/>
  <c r="P34" i="14"/>
  <c r="M34" i="14" s="1"/>
  <c r="N34" i="14" s="1"/>
  <c r="P44" i="14"/>
  <c r="M44" i="14" s="1"/>
  <c r="N44" i="14" s="1"/>
  <c r="E114" i="4"/>
  <c r="E113" i="4"/>
  <c r="S81" i="4"/>
  <c r="P81" i="4" s="1"/>
  <c r="O93" i="4" s="1"/>
  <c r="S79" i="4"/>
  <c r="S80" i="4"/>
  <c r="E102" i="16"/>
  <c r="E124" i="16"/>
  <c r="E102" i="14"/>
  <c r="E124" i="14"/>
  <c r="P37" i="14"/>
  <c r="M37" i="14" s="1"/>
  <c r="N37" i="14" s="1"/>
  <c r="Q80" i="15"/>
  <c r="D113" i="12"/>
  <c r="D102" i="12" s="1"/>
  <c r="P56" i="14"/>
  <c r="M56" i="14" s="1"/>
  <c r="N56" i="14" s="1"/>
  <c r="P50" i="14"/>
  <c r="M50" i="14" s="1"/>
  <c r="N50" i="14" s="1"/>
  <c r="P60" i="14"/>
  <c r="M60" i="14" s="1"/>
  <c r="N60" i="14" s="1"/>
  <c r="E113" i="22"/>
  <c r="S81" i="22"/>
  <c r="E114" i="22"/>
  <c r="S79" i="22"/>
  <c r="P79" i="22" s="1"/>
  <c r="O91" i="22" s="1"/>
  <c r="S80" i="22"/>
  <c r="S81" i="20"/>
  <c r="P81" i="20" s="1"/>
  <c r="O93" i="20" s="1"/>
  <c r="E114" i="20"/>
  <c r="E113" i="20"/>
  <c r="S80" i="20"/>
  <c r="P80" i="20" s="1"/>
  <c r="O92" i="20" s="1"/>
  <c r="S79" i="20"/>
  <c r="P31" i="14"/>
  <c r="M31" i="14" s="1"/>
  <c r="N31" i="14" s="1"/>
  <c r="P57" i="14"/>
  <c r="M57" i="14" s="1"/>
  <c r="N57" i="14" s="1"/>
  <c r="Q81" i="18"/>
  <c r="P81" i="18" s="1"/>
  <c r="O93" i="18" s="1"/>
  <c r="E113" i="17"/>
  <c r="S81" i="17"/>
  <c r="E114" i="17"/>
  <c r="S80" i="17"/>
  <c r="S79" i="17"/>
  <c r="P47" i="14"/>
  <c r="M47" i="14" s="1"/>
  <c r="N47" i="14" s="1"/>
  <c r="P32" i="14"/>
  <c r="M32" i="14" s="1"/>
  <c r="N32" i="14" s="1"/>
  <c r="R81" i="17"/>
  <c r="P81" i="19"/>
  <c r="O93" i="19" s="1"/>
  <c r="R79" i="10"/>
  <c r="R79" i="21"/>
  <c r="P63" i="14"/>
  <c r="M63" i="14" s="1"/>
  <c r="N63" i="14" s="1"/>
  <c r="P48" i="14"/>
  <c r="M48" i="14" s="1"/>
  <c r="N48" i="14" s="1"/>
  <c r="E102" i="19"/>
  <c r="E124" i="19"/>
  <c r="P44" i="16"/>
  <c r="M44" i="16" s="1"/>
  <c r="N44" i="16" s="1"/>
  <c r="P50" i="16"/>
  <c r="M50" i="16" s="1"/>
  <c r="N50" i="16" s="1"/>
  <c r="P58" i="16"/>
  <c r="M58" i="16" s="1"/>
  <c r="N58" i="16" s="1"/>
  <c r="P52" i="16"/>
  <c r="M52" i="16" s="1"/>
  <c r="N52" i="16" s="1"/>
  <c r="P32" i="16"/>
  <c r="M32" i="16" s="1"/>
  <c r="N32" i="16" s="1"/>
  <c r="P53" i="16"/>
  <c r="M53" i="16" s="1"/>
  <c r="N53" i="16" s="1"/>
  <c r="P34" i="16"/>
  <c r="M34" i="16" s="1"/>
  <c r="N34" i="16" s="1"/>
  <c r="P42" i="16"/>
  <c r="M42" i="16" s="1"/>
  <c r="N42" i="16" s="1"/>
  <c r="P37" i="16"/>
  <c r="M37" i="16" s="1"/>
  <c r="N37" i="16" s="1"/>
  <c r="P59" i="16"/>
  <c r="M59" i="16" s="1"/>
  <c r="N59" i="16" s="1"/>
  <c r="P26" i="16"/>
  <c r="M26" i="16" s="1"/>
  <c r="N26" i="16" s="1"/>
  <c r="P24" i="16"/>
  <c r="M24" i="16" s="1"/>
  <c r="N24" i="16" s="1"/>
  <c r="P63" i="16"/>
  <c r="M63" i="16" s="1"/>
  <c r="N63" i="16" s="1"/>
  <c r="P21" i="16"/>
  <c r="M21" i="16" s="1"/>
  <c r="N21" i="16" s="1"/>
  <c r="P43" i="16"/>
  <c r="M43" i="16" s="1"/>
  <c r="N43" i="16" s="1"/>
  <c r="P51" i="16"/>
  <c r="M51" i="16" s="1"/>
  <c r="N51" i="16" s="1"/>
  <c r="P62" i="16"/>
  <c r="M62" i="16" s="1"/>
  <c r="N62" i="16" s="1"/>
  <c r="P27" i="16"/>
  <c r="M27" i="16" s="1"/>
  <c r="N27" i="16" s="1"/>
  <c r="P65" i="16"/>
  <c r="M65" i="16" s="1"/>
  <c r="N65" i="16" s="1"/>
  <c r="P46" i="16"/>
  <c r="M46" i="16" s="1"/>
  <c r="N46" i="16" s="1"/>
  <c r="P25" i="16"/>
  <c r="M25" i="16" s="1"/>
  <c r="N25" i="16" s="1"/>
  <c r="P30" i="16"/>
  <c r="M30" i="16" s="1"/>
  <c r="N30" i="16" s="1"/>
  <c r="P36" i="16"/>
  <c r="M36" i="16" s="1"/>
  <c r="N36" i="16" s="1"/>
  <c r="P56" i="16"/>
  <c r="M56" i="16" s="1"/>
  <c r="N56" i="16" s="1"/>
  <c r="P55" i="16"/>
  <c r="M55" i="16" s="1"/>
  <c r="N55" i="16" s="1"/>
  <c r="P61" i="16"/>
  <c r="M61" i="16" s="1"/>
  <c r="N61" i="16" s="1"/>
  <c r="P49" i="16"/>
  <c r="M49" i="16" s="1"/>
  <c r="N49" i="16" s="1"/>
  <c r="P39" i="16"/>
  <c r="M39" i="16" s="1"/>
  <c r="N39" i="16" s="1"/>
  <c r="P45" i="16"/>
  <c r="M45" i="16" s="1"/>
  <c r="N45" i="16" s="1"/>
  <c r="P40" i="16"/>
  <c r="M40" i="16" s="1"/>
  <c r="N40" i="16" s="1"/>
  <c r="P57" i="16"/>
  <c r="M57" i="16" s="1"/>
  <c r="N57" i="16" s="1"/>
  <c r="P23" i="16"/>
  <c r="M23" i="16" s="1"/>
  <c r="N23" i="16" s="1"/>
  <c r="P29" i="16"/>
  <c r="M29" i="16" s="1"/>
  <c r="N29" i="16" s="1"/>
  <c r="P35" i="16"/>
  <c r="M35" i="16" s="1"/>
  <c r="N35" i="16" s="1"/>
  <c r="P60" i="16"/>
  <c r="M60" i="16" s="1"/>
  <c r="N60" i="16" s="1"/>
  <c r="P64" i="16"/>
  <c r="M64" i="16" s="1"/>
  <c r="N64" i="16" s="1"/>
  <c r="P54" i="16"/>
  <c r="M54" i="16" s="1"/>
  <c r="N54" i="16" s="1"/>
  <c r="P28" i="16"/>
  <c r="M28" i="16" s="1"/>
  <c r="N28" i="16" s="1"/>
  <c r="P22" i="16"/>
  <c r="M22" i="16" s="1"/>
  <c r="N22" i="16" s="1"/>
  <c r="P31" i="16"/>
  <c r="M31" i="16" s="1"/>
  <c r="N31" i="16" s="1"/>
  <c r="P48" i="16"/>
  <c r="M48" i="16" s="1"/>
  <c r="N48" i="16" s="1"/>
  <c r="P38" i="16"/>
  <c r="M38" i="16" s="1"/>
  <c r="N38" i="16" s="1"/>
  <c r="P33" i="16"/>
  <c r="M33" i="16" s="1"/>
  <c r="N33" i="16" s="1"/>
  <c r="P41" i="16"/>
  <c r="M41" i="16" s="1"/>
  <c r="N41" i="16" s="1"/>
  <c r="P47" i="16"/>
  <c r="M47" i="16" s="1"/>
  <c r="N47" i="16" s="1"/>
  <c r="P81" i="7"/>
  <c r="O93" i="7" s="1"/>
  <c r="D113" i="10"/>
  <c r="D102" i="10" s="1"/>
  <c r="D113" i="21"/>
  <c r="D124" i="21" s="1"/>
  <c r="N101" i="5"/>
  <c r="M17" i="5" s="1"/>
  <c r="P65" i="14"/>
  <c r="M65" i="14" s="1"/>
  <c r="N65" i="14" s="1"/>
  <c r="P22" i="14"/>
  <c r="M22" i="14" s="1"/>
  <c r="N22" i="14" s="1"/>
  <c r="P64" i="14"/>
  <c r="M64" i="14" s="1"/>
  <c r="N64" i="14" s="1"/>
  <c r="E103" i="19"/>
  <c r="E125" i="19"/>
  <c r="P81" i="16"/>
  <c r="O93" i="16" s="1"/>
  <c r="O101" i="16" s="1"/>
  <c r="E102" i="7"/>
  <c r="E124" i="7"/>
  <c r="E113" i="3"/>
  <c r="S81" i="3"/>
  <c r="P81" i="3" s="1"/>
  <c r="O93" i="3" s="1"/>
  <c r="E114" i="3"/>
  <c r="S80" i="3"/>
  <c r="S79" i="3"/>
  <c r="P79" i="3" s="1"/>
  <c r="O91" i="3" s="1"/>
  <c r="N101" i="12"/>
  <c r="M17" i="12" s="1"/>
  <c r="P60" i="12" s="1"/>
  <c r="M60" i="12" s="1"/>
  <c r="N60" i="12" s="1"/>
  <c r="P40" i="14"/>
  <c r="M40" i="14" s="1"/>
  <c r="N40" i="14" s="1"/>
  <c r="P38" i="14"/>
  <c r="M38" i="14" s="1"/>
  <c r="N38" i="14" s="1"/>
  <c r="P23" i="14"/>
  <c r="M23" i="14" s="1"/>
  <c r="N23" i="14" s="1"/>
  <c r="E103" i="8"/>
  <c r="E125" i="8"/>
  <c r="E113" i="13"/>
  <c r="S81" i="13"/>
  <c r="E114" i="13"/>
  <c r="S80" i="13"/>
  <c r="S79" i="13"/>
  <c r="E113" i="21"/>
  <c r="E114" i="21"/>
  <c r="S81" i="21"/>
  <c r="P81" i="21" s="1"/>
  <c r="O93" i="21" s="1"/>
  <c r="S80" i="21"/>
  <c r="S79" i="21"/>
  <c r="E103" i="7"/>
  <c r="P28" i="7" s="1"/>
  <c r="E125" i="7"/>
  <c r="P51" i="14"/>
  <c r="M51" i="14" s="1"/>
  <c r="N51" i="14" s="1"/>
  <c r="P79" i="5"/>
  <c r="O91" i="5" s="1"/>
  <c r="Q80" i="12"/>
  <c r="P41" i="14"/>
  <c r="M41" i="14" s="1"/>
  <c r="N41" i="14" s="1"/>
  <c r="P54" i="14"/>
  <c r="M54" i="14" s="1"/>
  <c r="N54" i="14" s="1"/>
  <c r="P39" i="14"/>
  <c r="M39" i="14" s="1"/>
  <c r="N39" i="14" s="1"/>
  <c r="Q81" i="5"/>
  <c r="Q79" i="12"/>
  <c r="P33" i="14"/>
  <c r="M33" i="14" s="1"/>
  <c r="N33" i="14" s="1"/>
  <c r="P29" i="14"/>
  <c r="M29" i="14" s="1"/>
  <c r="N29" i="14" s="1"/>
  <c r="P55" i="14"/>
  <c r="M55" i="14" s="1"/>
  <c r="N55" i="14" s="1"/>
  <c r="E124" i="8"/>
  <c r="E102" i="8"/>
  <c r="E113" i="12"/>
  <c r="E114" i="12"/>
  <c r="S81" i="12"/>
  <c r="S80" i="12"/>
  <c r="S79" i="12"/>
  <c r="S81" i="11"/>
  <c r="E114" i="11"/>
  <c r="E113" i="11"/>
  <c r="S79" i="11"/>
  <c r="S80" i="11"/>
  <c r="Q81" i="22"/>
  <c r="P81" i="22" s="1"/>
  <c r="O93" i="22" s="1"/>
  <c r="R79" i="15"/>
  <c r="P79" i="15" s="1"/>
  <c r="P49" i="14"/>
  <c r="M49" i="14" s="1"/>
  <c r="N49" i="14" s="1"/>
  <c r="P45" i="14"/>
  <c r="M45" i="14" s="1"/>
  <c r="N45" i="14" s="1"/>
  <c r="P30" i="14"/>
  <c r="M30" i="14" s="1"/>
  <c r="N30" i="14" s="1"/>
  <c r="P81" i="12"/>
  <c r="O93" i="12" s="1"/>
  <c r="E102" i="6"/>
  <c r="E124" i="6"/>
  <c r="R81" i="11"/>
  <c r="E113" i="9"/>
  <c r="E114" i="9"/>
  <c r="S81" i="9"/>
  <c r="P81" i="9" s="1"/>
  <c r="O93" i="9" s="1"/>
  <c r="S79" i="9"/>
  <c r="P79" i="9" s="1"/>
  <c r="O91" i="9" s="1"/>
  <c r="S80" i="9"/>
  <c r="P80" i="9" s="1"/>
  <c r="O92" i="9" s="1"/>
  <c r="D113" i="15"/>
  <c r="D102" i="15" s="1"/>
  <c r="P24" i="14"/>
  <c r="M24" i="14" s="1"/>
  <c r="N24" i="14" s="1"/>
  <c r="P61" i="14"/>
  <c r="M61" i="14" s="1"/>
  <c r="N61" i="14" s="1"/>
  <c r="Q81" i="13"/>
  <c r="P81" i="13" s="1"/>
  <c r="O93" i="13" s="1"/>
  <c r="S81" i="15"/>
  <c r="P81" i="15" s="1"/>
  <c r="O93" i="15" s="1"/>
  <c r="E113" i="15"/>
  <c r="E114" i="15"/>
  <c r="S80" i="15"/>
  <c r="S79" i="15"/>
  <c r="R81" i="5"/>
  <c r="O92" i="8"/>
  <c r="D102" i="5"/>
  <c r="D124" i="5"/>
  <c r="O91" i="14"/>
  <c r="P55" i="7"/>
  <c r="M55" i="7" s="1"/>
  <c r="N55" i="7" s="1"/>
  <c r="P39" i="7"/>
  <c r="M39" i="7" s="1"/>
  <c r="N39" i="7" s="1"/>
  <c r="P23" i="7"/>
  <c r="M23" i="7" s="1"/>
  <c r="N23" i="7" s="1"/>
  <c r="P64" i="7"/>
  <c r="M64" i="7" s="1"/>
  <c r="N64" i="7" s="1"/>
  <c r="P48" i="7"/>
  <c r="M48" i="7" s="1"/>
  <c r="N48" i="7" s="1"/>
  <c r="P32" i="7"/>
  <c r="M32" i="7" s="1"/>
  <c r="N32" i="7" s="1"/>
  <c r="P57" i="7"/>
  <c r="M57" i="7" s="1"/>
  <c r="N57" i="7" s="1"/>
  <c r="P41" i="7"/>
  <c r="M41" i="7" s="1"/>
  <c r="N41" i="7" s="1"/>
  <c r="P25" i="7"/>
  <c r="M25" i="7" s="1"/>
  <c r="N25" i="7" s="1"/>
  <c r="P50" i="7"/>
  <c r="M50" i="7" s="1"/>
  <c r="N50" i="7" s="1"/>
  <c r="P34" i="7"/>
  <c r="M34" i="7" s="1"/>
  <c r="N34" i="7" s="1"/>
  <c r="P59" i="7"/>
  <c r="M59" i="7" s="1"/>
  <c r="N59" i="7" s="1"/>
  <c r="P43" i="7"/>
  <c r="M43" i="7" s="1"/>
  <c r="N43" i="7" s="1"/>
  <c r="P27" i="7"/>
  <c r="M27" i="7" s="1"/>
  <c r="N27" i="7" s="1"/>
  <c r="P52" i="7"/>
  <c r="M52" i="7" s="1"/>
  <c r="N52" i="7" s="1"/>
  <c r="P36" i="7"/>
  <c r="M36" i="7" s="1"/>
  <c r="N36" i="7" s="1"/>
  <c r="P61" i="7"/>
  <c r="M61" i="7" s="1"/>
  <c r="N61" i="7" s="1"/>
  <c r="P45" i="7"/>
  <c r="M45" i="7" s="1"/>
  <c r="N45" i="7" s="1"/>
  <c r="P29" i="7"/>
  <c r="M29" i="7" s="1"/>
  <c r="N29" i="7" s="1"/>
  <c r="P54" i="7"/>
  <c r="M54" i="7" s="1"/>
  <c r="N54" i="7" s="1"/>
  <c r="P38" i="7"/>
  <c r="M38" i="7" s="1"/>
  <c r="N38" i="7" s="1"/>
  <c r="P22" i="7"/>
  <c r="P63" i="7"/>
  <c r="M63" i="7" s="1"/>
  <c r="N63" i="7" s="1"/>
  <c r="P47" i="7"/>
  <c r="M47" i="7" s="1"/>
  <c r="N47" i="7" s="1"/>
  <c r="P31" i="7"/>
  <c r="M31" i="7" s="1"/>
  <c r="N31" i="7" s="1"/>
  <c r="P56" i="7"/>
  <c r="M56" i="7" s="1"/>
  <c r="N56" i="7" s="1"/>
  <c r="P40" i="7"/>
  <c r="M40" i="7" s="1"/>
  <c r="N40" i="7" s="1"/>
  <c r="P24" i="7"/>
  <c r="M24" i="7" s="1"/>
  <c r="N24" i="7" s="1"/>
  <c r="P65" i="7"/>
  <c r="M65" i="7" s="1"/>
  <c r="N65" i="7" s="1"/>
  <c r="P49" i="7"/>
  <c r="M49" i="7" s="1"/>
  <c r="N49" i="7" s="1"/>
  <c r="P33" i="7"/>
  <c r="M33" i="7" s="1"/>
  <c r="N33" i="7" s="1"/>
  <c r="P58" i="7"/>
  <c r="M58" i="7" s="1"/>
  <c r="N58" i="7" s="1"/>
  <c r="P42" i="7"/>
  <c r="M42" i="7" s="1"/>
  <c r="N42" i="7" s="1"/>
  <c r="P26" i="7"/>
  <c r="M26" i="7" s="1"/>
  <c r="N26" i="7" s="1"/>
  <c r="P51" i="7"/>
  <c r="M51" i="7" s="1"/>
  <c r="N51" i="7" s="1"/>
  <c r="P35" i="7"/>
  <c r="M35" i="7" s="1"/>
  <c r="N35" i="7" s="1"/>
  <c r="P60" i="7"/>
  <c r="M60" i="7" s="1"/>
  <c r="N60" i="7" s="1"/>
  <c r="P44" i="7"/>
  <c r="M44" i="7" s="1"/>
  <c r="N44" i="7" s="1"/>
  <c r="P53" i="7"/>
  <c r="M53" i="7" s="1"/>
  <c r="N53" i="7" s="1"/>
  <c r="P37" i="7"/>
  <c r="M37" i="7" s="1"/>
  <c r="N37" i="7" s="1"/>
  <c r="P21" i="7"/>
  <c r="P30" i="7"/>
  <c r="M30" i="7" s="1"/>
  <c r="N30" i="7" s="1"/>
  <c r="P46" i="7"/>
  <c r="M46" i="7" s="1"/>
  <c r="N46" i="7" s="1"/>
  <c r="P62" i="7"/>
  <c r="M62" i="7" s="1"/>
  <c r="N62" i="7" s="1"/>
  <c r="P28" i="12"/>
  <c r="M28" i="12" s="1"/>
  <c r="N28" i="12" s="1"/>
  <c r="P53" i="12"/>
  <c r="M53" i="12" s="1"/>
  <c r="N53" i="12" s="1"/>
  <c r="P37" i="12"/>
  <c r="M37" i="12" s="1"/>
  <c r="N37" i="12" s="1"/>
  <c r="P21" i="12"/>
  <c r="M21" i="12" s="1"/>
  <c r="N21" i="12" s="1"/>
  <c r="P46" i="12"/>
  <c r="M46" i="12" s="1"/>
  <c r="N46" i="12" s="1"/>
  <c r="P30" i="12"/>
  <c r="M30" i="12" s="1"/>
  <c r="N30" i="12" s="1"/>
  <c r="P55" i="12"/>
  <c r="M55" i="12" s="1"/>
  <c r="N55" i="12" s="1"/>
  <c r="P39" i="12"/>
  <c r="M39" i="12" s="1"/>
  <c r="N39" i="12" s="1"/>
  <c r="P64" i="12"/>
  <c r="M64" i="12" s="1"/>
  <c r="N64" i="12" s="1"/>
  <c r="P48" i="12"/>
  <c r="M48" i="12" s="1"/>
  <c r="N48" i="12" s="1"/>
  <c r="P32" i="12"/>
  <c r="M32" i="12" s="1"/>
  <c r="N32" i="12" s="1"/>
  <c r="P50" i="12"/>
  <c r="M50" i="12" s="1"/>
  <c r="N50" i="12" s="1"/>
  <c r="P43" i="12"/>
  <c r="M43" i="12" s="1"/>
  <c r="N43" i="12" s="1"/>
  <c r="P27" i="12"/>
  <c r="M27" i="12" s="1"/>
  <c r="N27" i="12" s="1"/>
  <c r="P52" i="12"/>
  <c r="M52" i="12" s="1"/>
  <c r="N52" i="12" s="1"/>
  <c r="P36" i="12"/>
  <c r="M36" i="12" s="1"/>
  <c r="N36" i="12" s="1"/>
  <c r="P45" i="12"/>
  <c r="M45" i="12" s="1"/>
  <c r="N45" i="12" s="1"/>
  <c r="P29" i="12"/>
  <c r="M29" i="12" s="1"/>
  <c r="N29" i="12" s="1"/>
  <c r="P54" i="12"/>
  <c r="M54" i="12" s="1"/>
  <c r="N54" i="12" s="1"/>
  <c r="P38" i="12"/>
  <c r="M38" i="12" s="1"/>
  <c r="N38" i="12" s="1"/>
  <c r="P63" i="12"/>
  <c r="M63" i="12" s="1"/>
  <c r="N63" i="12" s="1"/>
  <c r="P47" i="12"/>
  <c r="M47" i="12" s="1"/>
  <c r="N47" i="12" s="1"/>
  <c r="P31" i="12"/>
  <c r="M31" i="12" s="1"/>
  <c r="N31" i="12" s="1"/>
  <c r="P65" i="12"/>
  <c r="M65" i="12" s="1"/>
  <c r="N65" i="12" s="1"/>
  <c r="P58" i="12"/>
  <c r="M58" i="12" s="1"/>
  <c r="N58" i="12" s="1"/>
  <c r="P26" i="12"/>
  <c r="M26" i="12" s="1"/>
  <c r="N26" i="12" s="1"/>
  <c r="P57" i="12"/>
  <c r="M57" i="12" s="1"/>
  <c r="N57" i="12" s="1"/>
  <c r="P25" i="12"/>
  <c r="M25" i="12" s="1"/>
  <c r="N25" i="12" s="1"/>
  <c r="P56" i="12"/>
  <c r="M56" i="12" s="1"/>
  <c r="N56" i="12" s="1"/>
  <c r="P24" i="12"/>
  <c r="M24" i="12" s="1"/>
  <c r="N24" i="12" s="1"/>
  <c r="P42" i="12"/>
  <c r="M42" i="12" s="1"/>
  <c r="N42" i="12" s="1"/>
  <c r="P41" i="12"/>
  <c r="M41" i="12" s="1"/>
  <c r="N41" i="12" s="1"/>
  <c r="P35" i="12"/>
  <c r="M35" i="12" s="1"/>
  <c r="N35" i="12" s="1"/>
  <c r="P40" i="12"/>
  <c r="M40" i="12" s="1"/>
  <c r="N40" i="12" s="1"/>
  <c r="P53" i="9"/>
  <c r="M53" i="9" s="1"/>
  <c r="N53" i="9" s="1"/>
  <c r="P37" i="9"/>
  <c r="M37" i="9" s="1"/>
  <c r="N37" i="9" s="1"/>
  <c r="P21" i="9"/>
  <c r="M21" i="9" s="1"/>
  <c r="N21" i="9" s="1"/>
  <c r="P62" i="9"/>
  <c r="M62" i="9" s="1"/>
  <c r="N62" i="9" s="1"/>
  <c r="P46" i="9"/>
  <c r="M46" i="9" s="1"/>
  <c r="N46" i="9" s="1"/>
  <c r="P30" i="9"/>
  <c r="M30" i="9" s="1"/>
  <c r="N30" i="9" s="1"/>
  <c r="P55" i="9"/>
  <c r="M55" i="9" s="1"/>
  <c r="N55" i="9" s="1"/>
  <c r="P39" i="9"/>
  <c r="M39" i="9" s="1"/>
  <c r="N39" i="9" s="1"/>
  <c r="P23" i="9"/>
  <c r="M23" i="9" s="1"/>
  <c r="N23" i="9" s="1"/>
  <c r="P64" i="9"/>
  <c r="M64" i="9" s="1"/>
  <c r="N64" i="9" s="1"/>
  <c r="P48" i="9"/>
  <c r="M48" i="9" s="1"/>
  <c r="N48" i="9" s="1"/>
  <c r="P32" i="9"/>
  <c r="M32" i="9" s="1"/>
  <c r="N32" i="9" s="1"/>
  <c r="P59" i="9"/>
  <c r="M59" i="9" s="1"/>
  <c r="N59" i="9" s="1"/>
  <c r="P43" i="9"/>
  <c r="M43" i="9" s="1"/>
  <c r="N43" i="9" s="1"/>
  <c r="P27" i="9"/>
  <c r="M27" i="9" s="1"/>
  <c r="N27" i="9" s="1"/>
  <c r="P52" i="9"/>
  <c r="M52" i="9" s="1"/>
  <c r="N52" i="9" s="1"/>
  <c r="P36" i="9"/>
  <c r="M36" i="9" s="1"/>
  <c r="N36" i="9" s="1"/>
  <c r="P61" i="9"/>
  <c r="M61" i="9" s="1"/>
  <c r="N61" i="9" s="1"/>
  <c r="P45" i="9"/>
  <c r="M45" i="9" s="1"/>
  <c r="N45" i="9" s="1"/>
  <c r="P29" i="9"/>
  <c r="M29" i="9" s="1"/>
  <c r="N29" i="9" s="1"/>
  <c r="P54" i="9"/>
  <c r="M54" i="9" s="1"/>
  <c r="N54" i="9" s="1"/>
  <c r="P38" i="9"/>
  <c r="M38" i="9" s="1"/>
  <c r="N38" i="9" s="1"/>
  <c r="P22" i="9"/>
  <c r="M22" i="9" s="1"/>
  <c r="N22" i="9" s="1"/>
  <c r="P63" i="9"/>
  <c r="M63" i="9" s="1"/>
  <c r="N63" i="9" s="1"/>
  <c r="P47" i="9"/>
  <c r="M47" i="9" s="1"/>
  <c r="N47" i="9" s="1"/>
  <c r="P31" i="9"/>
  <c r="M31" i="9" s="1"/>
  <c r="N31" i="9" s="1"/>
  <c r="P51" i="9"/>
  <c r="M51" i="9" s="1"/>
  <c r="N51" i="9" s="1"/>
  <c r="P35" i="9"/>
  <c r="M35" i="9" s="1"/>
  <c r="N35" i="9" s="1"/>
  <c r="P49" i="9"/>
  <c r="M49" i="9" s="1"/>
  <c r="N49" i="9" s="1"/>
  <c r="P44" i="9"/>
  <c r="M44" i="9" s="1"/>
  <c r="N44" i="9" s="1"/>
  <c r="P24" i="9"/>
  <c r="M24" i="9" s="1"/>
  <c r="N24" i="9" s="1"/>
  <c r="P34" i="9"/>
  <c r="M34" i="9" s="1"/>
  <c r="N34" i="9" s="1"/>
  <c r="P58" i="9"/>
  <c r="M58" i="9" s="1"/>
  <c r="N58" i="9" s="1"/>
  <c r="P33" i="9"/>
  <c r="M33" i="9" s="1"/>
  <c r="N33" i="9" s="1"/>
  <c r="P28" i="9"/>
  <c r="M28" i="9" s="1"/>
  <c r="N28" i="9" s="1"/>
  <c r="P57" i="9"/>
  <c r="M57" i="9" s="1"/>
  <c r="N57" i="9" s="1"/>
  <c r="P42" i="9"/>
  <c r="M42" i="9" s="1"/>
  <c r="N42" i="9" s="1"/>
  <c r="P56" i="9"/>
  <c r="M56" i="9" s="1"/>
  <c r="N56" i="9" s="1"/>
  <c r="P41" i="9"/>
  <c r="M41" i="9" s="1"/>
  <c r="N41" i="9" s="1"/>
  <c r="P26" i="9"/>
  <c r="M26" i="9" s="1"/>
  <c r="N26" i="9" s="1"/>
  <c r="P60" i="9"/>
  <c r="M60" i="9" s="1"/>
  <c r="N60" i="9" s="1"/>
  <c r="P40" i="9"/>
  <c r="M40" i="9" s="1"/>
  <c r="N40" i="9" s="1"/>
  <c r="P50" i="9"/>
  <c r="M50" i="9" s="1"/>
  <c r="N50" i="9" s="1"/>
  <c r="P65" i="9"/>
  <c r="M65" i="9" s="1"/>
  <c r="N65" i="9" s="1"/>
  <c r="P25" i="9"/>
  <c r="M25" i="9" s="1"/>
  <c r="N25" i="9" s="1"/>
  <c r="K64" i="2"/>
  <c r="J64" i="2"/>
  <c r="I64" i="2"/>
  <c r="H64" i="2"/>
  <c r="G64" i="2"/>
  <c r="F64" i="2"/>
  <c r="E64" i="2"/>
  <c r="D64" i="2"/>
  <c r="C64" i="2"/>
  <c r="L64" i="2"/>
  <c r="D102" i="4"/>
  <c r="D124" i="4"/>
  <c r="O91" i="8"/>
  <c r="O92" i="7"/>
  <c r="O101" i="7" s="1"/>
  <c r="Q79" i="18"/>
  <c r="P79" i="18" s="1"/>
  <c r="O91" i="18" s="1"/>
  <c r="Q80" i="18"/>
  <c r="P80" i="18" s="1"/>
  <c r="N101" i="18"/>
  <c r="M17" i="18" s="1"/>
  <c r="Q79" i="4"/>
  <c r="Q80" i="4"/>
  <c r="P80" i="4" s="1"/>
  <c r="N101" i="4"/>
  <c r="M17" i="4" s="1"/>
  <c r="D124" i="13"/>
  <c r="D102" i="13"/>
  <c r="O92" i="6"/>
  <c r="P64" i="6"/>
  <c r="M64" i="6" s="1"/>
  <c r="N64" i="6" s="1"/>
  <c r="P48" i="6"/>
  <c r="M48" i="6" s="1"/>
  <c r="N48" i="6" s="1"/>
  <c r="P32" i="6"/>
  <c r="M32" i="6" s="1"/>
  <c r="N32" i="6" s="1"/>
  <c r="P57" i="6"/>
  <c r="M57" i="6" s="1"/>
  <c r="N57" i="6" s="1"/>
  <c r="P41" i="6"/>
  <c r="M41" i="6" s="1"/>
  <c r="N41" i="6" s="1"/>
  <c r="P25" i="6"/>
  <c r="M25" i="6" s="1"/>
  <c r="N25" i="6" s="1"/>
  <c r="P50" i="6"/>
  <c r="M50" i="6" s="1"/>
  <c r="N50" i="6" s="1"/>
  <c r="P34" i="6"/>
  <c r="M34" i="6" s="1"/>
  <c r="N34" i="6" s="1"/>
  <c r="P59" i="6"/>
  <c r="M59" i="6" s="1"/>
  <c r="N59" i="6" s="1"/>
  <c r="P43" i="6"/>
  <c r="M43" i="6" s="1"/>
  <c r="N43" i="6" s="1"/>
  <c r="P27" i="6"/>
  <c r="M27" i="6" s="1"/>
  <c r="N27" i="6" s="1"/>
  <c r="P52" i="6"/>
  <c r="M52" i="6" s="1"/>
  <c r="N52" i="6" s="1"/>
  <c r="P36" i="6"/>
  <c r="M36" i="6" s="1"/>
  <c r="N36" i="6" s="1"/>
  <c r="P61" i="6"/>
  <c r="M61" i="6" s="1"/>
  <c r="N61" i="6" s="1"/>
  <c r="P45" i="6"/>
  <c r="M45" i="6" s="1"/>
  <c r="N45" i="6" s="1"/>
  <c r="P29" i="6"/>
  <c r="M29" i="6" s="1"/>
  <c r="N29" i="6" s="1"/>
  <c r="P54" i="6"/>
  <c r="M54" i="6" s="1"/>
  <c r="N54" i="6" s="1"/>
  <c r="P63" i="6"/>
  <c r="M63" i="6" s="1"/>
  <c r="N63" i="6" s="1"/>
  <c r="P47" i="6"/>
  <c r="M47" i="6" s="1"/>
  <c r="N47" i="6" s="1"/>
  <c r="P31" i="6"/>
  <c r="M31" i="6" s="1"/>
  <c r="N31" i="6" s="1"/>
  <c r="P56" i="6"/>
  <c r="M56" i="6" s="1"/>
  <c r="N56" i="6" s="1"/>
  <c r="P40" i="6"/>
  <c r="M40" i="6" s="1"/>
  <c r="N40" i="6" s="1"/>
  <c r="P24" i="6"/>
  <c r="M24" i="6" s="1"/>
  <c r="N24" i="6" s="1"/>
  <c r="P65" i="6"/>
  <c r="M65" i="6" s="1"/>
  <c r="N65" i="6" s="1"/>
  <c r="P49" i="6"/>
  <c r="M49" i="6" s="1"/>
  <c r="N49" i="6" s="1"/>
  <c r="P33" i="6"/>
  <c r="M33" i="6" s="1"/>
  <c r="N33" i="6" s="1"/>
  <c r="P58" i="6"/>
  <c r="M58" i="6" s="1"/>
  <c r="N58" i="6" s="1"/>
  <c r="P42" i="6"/>
  <c r="M42" i="6" s="1"/>
  <c r="N42" i="6" s="1"/>
  <c r="P26" i="6"/>
  <c r="M26" i="6" s="1"/>
  <c r="N26" i="6" s="1"/>
  <c r="P51" i="6"/>
  <c r="M51" i="6" s="1"/>
  <c r="N51" i="6" s="1"/>
  <c r="P35" i="6"/>
  <c r="M35" i="6" s="1"/>
  <c r="N35" i="6" s="1"/>
  <c r="P60" i="6"/>
  <c r="M60" i="6" s="1"/>
  <c r="N60" i="6" s="1"/>
  <c r="P44" i="6"/>
  <c r="M44" i="6" s="1"/>
  <c r="N44" i="6" s="1"/>
  <c r="P28" i="6"/>
  <c r="P53" i="6"/>
  <c r="M53" i="6" s="1"/>
  <c r="N53" i="6" s="1"/>
  <c r="P37" i="6"/>
  <c r="M37" i="6" s="1"/>
  <c r="N37" i="6" s="1"/>
  <c r="P62" i="6"/>
  <c r="M62" i="6" s="1"/>
  <c r="N62" i="6" s="1"/>
  <c r="P46" i="6"/>
  <c r="M46" i="6" s="1"/>
  <c r="N46" i="6" s="1"/>
  <c r="P30" i="6"/>
  <c r="M30" i="6" s="1"/>
  <c r="N30" i="6" s="1"/>
  <c r="P23" i="6"/>
  <c r="M23" i="6" s="1"/>
  <c r="N23" i="6" s="1"/>
  <c r="P55" i="6"/>
  <c r="M55" i="6" s="1"/>
  <c r="N55" i="6" s="1"/>
  <c r="P22" i="6"/>
  <c r="P39" i="6"/>
  <c r="M39" i="6" s="1"/>
  <c r="N39" i="6" s="1"/>
  <c r="P38" i="6"/>
  <c r="M38" i="6" s="1"/>
  <c r="N38" i="6" s="1"/>
  <c r="P79" i="13"/>
  <c r="D102" i="18"/>
  <c r="D124" i="18"/>
  <c r="P79" i="6"/>
  <c r="P53" i="13"/>
  <c r="M53" i="13" s="1"/>
  <c r="N53" i="13" s="1"/>
  <c r="P62" i="13"/>
  <c r="M62" i="13" s="1"/>
  <c r="N62" i="13" s="1"/>
  <c r="P55" i="13"/>
  <c r="M55" i="13" s="1"/>
  <c r="N55" i="13" s="1"/>
  <c r="P57" i="13"/>
  <c r="M57" i="13" s="1"/>
  <c r="N57" i="13" s="1"/>
  <c r="P41" i="13"/>
  <c r="M41" i="13" s="1"/>
  <c r="N41" i="13" s="1"/>
  <c r="P61" i="13"/>
  <c r="M61" i="13" s="1"/>
  <c r="N61" i="13" s="1"/>
  <c r="P63" i="13"/>
  <c r="M63" i="13" s="1"/>
  <c r="N63" i="13" s="1"/>
  <c r="P56" i="13"/>
  <c r="M56" i="13" s="1"/>
  <c r="N56" i="13" s="1"/>
  <c r="P42" i="13"/>
  <c r="M42" i="13" s="1"/>
  <c r="N42" i="13" s="1"/>
  <c r="P35" i="13"/>
  <c r="M35" i="13" s="1"/>
  <c r="N35" i="13" s="1"/>
  <c r="P28" i="13"/>
  <c r="M28" i="13" s="1"/>
  <c r="N28" i="13" s="1"/>
  <c r="P37" i="13"/>
  <c r="M37" i="13" s="1"/>
  <c r="N37" i="13" s="1"/>
  <c r="P21" i="13"/>
  <c r="M21" i="13" s="1"/>
  <c r="N21" i="13" s="1"/>
  <c r="P59" i="13"/>
  <c r="M59" i="13" s="1"/>
  <c r="N59" i="13" s="1"/>
  <c r="P52" i="13"/>
  <c r="M52" i="13" s="1"/>
  <c r="N52" i="13" s="1"/>
  <c r="P49" i="13"/>
  <c r="M49" i="13" s="1"/>
  <c r="N49" i="13" s="1"/>
  <c r="P44" i="13"/>
  <c r="M44" i="13" s="1"/>
  <c r="N44" i="13" s="1"/>
  <c r="P30" i="13"/>
  <c r="M30" i="13" s="1"/>
  <c r="N30" i="13" s="1"/>
  <c r="P39" i="13"/>
  <c r="M39" i="13" s="1"/>
  <c r="N39" i="13" s="1"/>
  <c r="P23" i="13"/>
  <c r="M23" i="13" s="1"/>
  <c r="N23" i="13" s="1"/>
  <c r="P32" i="13"/>
  <c r="M32" i="13" s="1"/>
  <c r="N32" i="13" s="1"/>
  <c r="P46" i="13"/>
  <c r="M46" i="13" s="1"/>
  <c r="N46" i="13" s="1"/>
  <c r="P25" i="13"/>
  <c r="M25" i="13" s="1"/>
  <c r="N25" i="13" s="1"/>
  <c r="P65" i="13"/>
  <c r="M65" i="13" s="1"/>
  <c r="N65" i="13" s="1"/>
  <c r="P58" i="13"/>
  <c r="M58" i="13" s="1"/>
  <c r="N58" i="13" s="1"/>
  <c r="P34" i="13"/>
  <c r="M34" i="13" s="1"/>
  <c r="N34" i="13" s="1"/>
  <c r="P54" i="13"/>
  <c r="M54" i="13" s="1"/>
  <c r="N54" i="13" s="1"/>
  <c r="P48" i="13"/>
  <c r="M48" i="13" s="1"/>
  <c r="N48" i="13" s="1"/>
  <c r="P27" i="13"/>
  <c r="M27" i="13" s="1"/>
  <c r="N27" i="13" s="1"/>
  <c r="P51" i="13"/>
  <c r="M51" i="13" s="1"/>
  <c r="N51" i="13" s="1"/>
  <c r="P43" i="13"/>
  <c r="M43" i="13" s="1"/>
  <c r="N43" i="13" s="1"/>
  <c r="P36" i="13"/>
  <c r="M36" i="13" s="1"/>
  <c r="N36" i="13" s="1"/>
  <c r="P29" i="13"/>
  <c r="M29" i="13" s="1"/>
  <c r="N29" i="13" s="1"/>
  <c r="P64" i="13"/>
  <c r="M64" i="13" s="1"/>
  <c r="N64" i="13" s="1"/>
  <c r="P38" i="13"/>
  <c r="M38" i="13" s="1"/>
  <c r="N38" i="13" s="1"/>
  <c r="P22" i="13"/>
  <c r="M22" i="13" s="1"/>
  <c r="N22" i="13" s="1"/>
  <c r="P45" i="13"/>
  <c r="M45" i="13" s="1"/>
  <c r="N45" i="13" s="1"/>
  <c r="P31" i="13"/>
  <c r="M31" i="13" s="1"/>
  <c r="N31" i="13" s="1"/>
  <c r="P50" i="13"/>
  <c r="M50" i="13" s="1"/>
  <c r="N50" i="13" s="1"/>
  <c r="P40" i="13"/>
  <c r="M40" i="13" s="1"/>
  <c r="N40" i="13" s="1"/>
  <c r="P24" i="13"/>
  <c r="M24" i="13" s="1"/>
  <c r="N24" i="13" s="1"/>
  <c r="P47" i="13"/>
  <c r="M47" i="13" s="1"/>
  <c r="N47" i="13" s="1"/>
  <c r="P26" i="13"/>
  <c r="M26" i="13" s="1"/>
  <c r="N26" i="13" s="1"/>
  <c r="P33" i="13"/>
  <c r="M33" i="13" s="1"/>
  <c r="N33" i="13" s="1"/>
  <c r="P60" i="13"/>
  <c r="M60" i="13" s="1"/>
  <c r="N60" i="13" s="1"/>
  <c r="P57" i="5"/>
  <c r="M57" i="5" s="1"/>
  <c r="N57" i="5" s="1"/>
  <c r="P41" i="5"/>
  <c r="M41" i="5" s="1"/>
  <c r="N41" i="5" s="1"/>
  <c r="P25" i="5"/>
  <c r="M25" i="5" s="1"/>
  <c r="N25" i="5" s="1"/>
  <c r="P50" i="5"/>
  <c r="M50" i="5" s="1"/>
  <c r="N50" i="5" s="1"/>
  <c r="P34" i="5"/>
  <c r="M34" i="5" s="1"/>
  <c r="N34" i="5" s="1"/>
  <c r="P59" i="5"/>
  <c r="M59" i="5" s="1"/>
  <c r="N59" i="5" s="1"/>
  <c r="P43" i="5"/>
  <c r="M43" i="5" s="1"/>
  <c r="N43" i="5" s="1"/>
  <c r="P27" i="5"/>
  <c r="M27" i="5" s="1"/>
  <c r="N27" i="5" s="1"/>
  <c r="P52" i="5"/>
  <c r="M52" i="5" s="1"/>
  <c r="N52" i="5" s="1"/>
  <c r="P36" i="5"/>
  <c r="M36" i="5" s="1"/>
  <c r="N36" i="5" s="1"/>
  <c r="P61" i="5"/>
  <c r="M61" i="5" s="1"/>
  <c r="N61" i="5" s="1"/>
  <c r="P45" i="5"/>
  <c r="M45" i="5" s="1"/>
  <c r="N45" i="5" s="1"/>
  <c r="P29" i="5"/>
  <c r="M29" i="5" s="1"/>
  <c r="N29" i="5" s="1"/>
  <c r="P54" i="5"/>
  <c r="M54" i="5" s="1"/>
  <c r="N54" i="5" s="1"/>
  <c r="P38" i="5"/>
  <c r="M38" i="5" s="1"/>
  <c r="N38" i="5" s="1"/>
  <c r="P56" i="5"/>
  <c r="M56" i="5" s="1"/>
  <c r="N56" i="5" s="1"/>
  <c r="P40" i="5"/>
  <c r="M40" i="5" s="1"/>
  <c r="N40" i="5" s="1"/>
  <c r="P65" i="5"/>
  <c r="M65" i="5" s="1"/>
  <c r="N65" i="5" s="1"/>
  <c r="P49" i="5"/>
  <c r="M49" i="5" s="1"/>
  <c r="N49" i="5" s="1"/>
  <c r="P33" i="5"/>
  <c r="M33" i="5" s="1"/>
  <c r="N33" i="5" s="1"/>
  <c r="P58" i="5"/>
  <c r="M58" i="5" s="1"/>
  <c r="N58" i="5" s="1"/>
  <c r="P42" i="5"/>
  <c r="M42" i="5" s="1"/>
  <c r="N42" i="5" s="1"/>
  <c r="P26" i="5"/>
  <c r="M26" i="5" s="1"/>
  <c r="N26" i="5" s="1"/>
  <c r="P51" i="5"/>
  <c r="M51" i="5" s="1"/>
  <c r="N51" i="5" s="1"/>
  <c r="P35" i="5"/>
  <c r="M35" i="5" s="1"/>
  <c r="N35" i="5" s="1"/>
  <c r="P60" i="5"/>
  <c r="M60" i="5" s="1"/>
  <c r="N60" i="5" s="1"/>
  <c r="P44" i="5"/>
  <c r="M44" i="5" s="1"/>
  <c r="N44" i="5" s="1"/>
  <c r="P53" i="5"/>
  <c r="M53" i="5" s="1"/>
  <c r="N53" i="5" s="1"/>
  <c r="P37" i="5"/>
  <c r="M37" i="5" s="1"/>
  <c r="N37" i="5" s="1"/>
  <c r="P21" i="5"/>
  <c r="M21" i="5" s="1"/>
  <c r="N21" i="5" s="1"/>
  <c r="P62" i="5"/>
  <c r="M62" i="5" s="1"/>
  <c r="N62" i="5" s="1"/>
  <c r="P46" i="5"/>
  <c r="M46" i="5" s="1"/>
  <c r="N46" i="5" s="1"/>
  <c r="P30" i="5"/>
  <c r="M30" i="5" s="1"/>
  <c r="N30" i="5" s="1"/>
  <c r="P55" i="5"/>
  <c r="M55" i="5" s="1"/>
  <c r="N55" i="5" s="1"/>
  <c r="P39" i="5"/>
  <c r="M39" i="5" s="1"/>
  <c r="N39" i="5" s="1"/>
  <c r="P64" i="5"/>
  <c r="M64" i="5" s="1"/>
  <c r="N64" i="5" s="1"/>
  <c r="P48" i="5"/>
  <c r="M48" i="5" s="1"/>
  <c r="N48" i="5" s="1"/>
  <c r="P63" i="5"/>
  <c r="M63" i="5" s="1"/>
  <c r="N63" i="5" s="1"/>
  <c r="P47" i="5"/>
  <c r="M47" i="5" s="1"/>
  <c r="N47" i="5" s="1"/>
  <c r="P32" i="5"/>
  <c r="M32" i="5" s="1"/>
  <c r="N32" i="5" s="1"/>
  <c r="P31" i="5"/>
  <c r="M31" i="5" s="1"/>
  <c r="N31" i="5" s="1"/>
  <c r="P24" i="5"/>
  <c r="M24" i="5" s="1"/>
  <c r="N24" i="5" s="1"/>
  <c r="P23" i="5"/>
  <c r="M23" i="5" s="1"/>
  <c r="N23" i="5" s="1"/>
  <c r="P62" i="15"/>
  <c r="M62" i="15" s="1"/>
  <c r="N62" i="15" s="1"/>
  <c r="P46" i="15"/>
  <c r="M46" i="15" s="1"/>
  <c r="N46" i="15" s="1"/>
  <c r="P55" i="15"/>
  <c r="M55" i="15" s="1"/>
  <c r="N55" i="15" s="1"/>
  <c r="P64" i="15"/>
  <c r="M64" i="15" s="1"/>
  <c r="N64" i="15" s="1"/>
  <c r="P48" i="15"/>
  <c r="M48" i="15" s="1"/>
  <c r="N48" i="15" s="1"/>
  <c r="P57" i="15"/>
  <c r="M57" i="15" s="1"/>
  <c r="N57" i="15" s="1"/>
  <c r="P41" i="15"/>
  <c r="M41" i="15" s="1"/>
  <c r="N41" i="15" s="1"/>
  <c r="P59" i="15"/>
  <c r="M59" i="15" s="1"/>
  <c r="N59" i="15" s="1"/>
  <c r="P43" i="15"/>
  <c r="M43" i="15" s="1"/>
  <c r="N43" i="15" s="1"/>
  <c r="P61" i="15"/>
  <c r="M61" i="15" s="1"/>
  <c r="N61" i="15" s="1"/>
  <c r="P45" i="15"/>
  <c r="M45" i="15" s="1"/>
  <c r="N45" i="15" s="1"/>
  <c r="P54" i="15"/>
  <c r="M54" i="15" s="1"/>
  <c r="N54" i="15" s="1"/>
  <c r="P63" i="15"/>
  <c r="M63" i="15" s="1"/>
  <c r="N63" i="15" s="1"/>
  <c r="P47" i="15"/>
  <c r="M47" i="15" s="1"/>
  <c r="N47" i="15" s="1"/>
  <c r="P56" i="15"/>
  <c r="M56" i="15" s="1"/>
  <c r="N56" i="15" s="1"/>
  <c r="P40" i="15"/>
  <c r="M40" i="15" s="1"/>
  <c r="N40" i="15" s="1"/>
  <c r="P38" i="15"/>
  <c r="M38" i="15" s="1"/>
  <c r="N38" i="15" s="1"/>
  <c r="P58" i="15"/>
  <c r="M58" i="15" s="1"/>
  <c r="N58" i="15" s="1"/>
  <c r="P49" i="15"/>
  <c r="M49" i="15" s="1"/>
  <c r="N49" i="15" s="1"/>
  <c r="P28" i="15"/>
  <c r="M28" i="15" s="1"/>
  <c r="N28" i="15" s="1"/>
  <c r="P35" i="15"/>
  <c r="M35" i="15" s="1"/>
  <c r="N35" i="15" s="1"/>
  <c r="P21" i="15"/>
  <c r="M21" i="15" s="1"/>
  <c r="N21" i="15" s="1"/>
  <c r="P30" i="15"/>
  <c r="M30" i="15" s="1"/>
  <c r="N30" i="15" s="1"/>
  <c r="P53" i="15"/>
  <c r="M53" i="15" s="1"/>
  <c r="N53" i="15" s="1"/>
  <c r="P23" i="15"/>
  <c r="M23" i="15" s="1"/>
  <c r="N23" i="15" s="1"/>
  <c r="P32" i="15"/>
  <c r="M32" i="15" s="1"/>
  <c r="N32" i="15" s="1"/>
  <c r="P44" i="15"/>
  <c r="M44" i="15" s="1"/>
  <c r="N44" i="15" s="1"/>
  <c r="P37" i="15"/>
  <c r="M37" i="15" s="1"/>
  <c r="N37" i="15" s="1"/>
  <c r="P25" i="15"/>
  <c r="M25" i="15" s="1"/>
  <c r="N25" i="15" s="1"/>
  <c r="P52" i="15"/>
  <c r="M52" i="15" s="1"/>
  <c r="N52" i="15" s="1"/>
  <c r="P34" i="15"/>
  <c r="M34" i="15" s="1"/>
  <c r="N34" i="15" s="1"/>
  <c r="P27" i="15"/>
  <c r="M27" i="15" s="1"/>
  <c r="N27" i="15" s="1"/>
  <c r="P65" i="15"/>
  <c r="M65" i="15" s="1"/>
  <c r="N65" i="15" s="1"/>
  <c r="P29" i="15"/>
  <c r="M29" i="15" s="1"/>
  <c r="N29" i="15" s="1"/>
  <c r="P51" i="15"/>
  <c r="M51" i="15" s="1"/>
  <c r="N51" i="15" s="1"/>
  <c r="P39" i="15"/>
  <c r="M39" i="15" s="1"/>
  <c r="N39" i="15" s="1"/>
  <c r="P22" i="15"/>
  <c r="M22" i="15" s="1"/>
  <c r="N22" i="15" s="1"/>
  <c r="P60" i="15"/>
  <c r="M60" i="15" s="1"/>
  <c r="N60" i="15" s="1"/>
  <c r="P36" i="15"/>
  <c r="M36" i="15" s="1"/>
  <c r="N36" i="15" s="1"/>
  <c r="P31" i="15"/>
  <c r="M31" i="15" s="1"/>
  <c r="N31" i="15" s="1"/>
  <c r="P50" i="15"/>
  <c r="M50" i="15" s="1"/>
  <c r="N50" i="15" s="1"/>
  <c r="P33" i="15"/>
  <c r="M33" i="15" s="1"/>
  <c r="N33" i="15" s="1"/>
  <c r="P26" i="15"/>
  <c r="M26" i="15" s="1"/>
  <c r="N26" i="15" s="1"/>
  <c r="P42" i="15"/>
  <c r="M42" i="15" s="1"/>
  <c r="N42" i="15" s="1"/>
  <c r="P24" i="15"/>
  <c r="M24" i="15" s="1"/>
  <c r="N24" i="15" s="1"/>
  <c r="P50" i="22"/>
  <c r="M50" i="22" s="1"/>
  <c r="N50" i="22" s="1"/>
  <c r="P34" i="22"/>
  <c r="M34" i="22" s="1"/>
  <c r="N34" i="22" s="1"/>
  <c r="P59" i="22"/>
  <c r="M59" i="22" s="1"/>
  <c r="N59" i="22" s="1"/>
  <c r="P43" i="22"/>
  <c r="M43" i="22" s="1"/>
  <c r="N43" i="22" s="1"/>
  <c r="P27" i="22"/>
  <c r="M27" i="22" s="1"/>
  <c r="N27" i="22" s="1"/>
  <c r="P52" i="22"/>
  <c r="M52" i="22" s="1"/>
  <c r="N52" i="22" s="1"/>
  <c r="P36" i="22"/>
  <c r="M36" i="22" s="1"/>
  <c r="N36" i="22" s="1"/>
  <c r="P54" i="22"/>
  <c r="M54" i="22" s="1"/>
  <c r="N54" i="22" s="1"/>
  <c r="P38" i="22"/>
  <c r="M38" i="22" s="1"/>
  <c r="N38" i="22" s="1"/>
  <c r="P63" i="22"/>
  <c r="M63" i="22" s="1"/>
  <c r="N63" i="22" s="1"/>
  <c r="P56" i="22"/>
  <c r="M56" i="22" s="1"/>
  <c r="N56" i="22" s="1"/>
  <c r="P40" i="22"/>
  <c r="M40" i="22" s="1"/>
  <c r="N40" i="22" s="1"/>
  <c r="P24" i="22"/>
  <c r="M24" i="22" s="1"/>
  <c r="N24" i="22" s="1"/>
  <c r="P65" i="22"/>
  <c r="M65" i="22" s="1"/>
  <c r="N65" i="22" s="1"/>
  <c r="P49" i="22"/>
  <c r="M49" i="22" s="1"/>
  <c r="N49" i="22" s="1"/>
  <c r="P33" i="22"/>
  <c r="M33" i="22" s="1"/>
  <c r="N33" i="22" s="1"/>
  <c r="P58" i="22"/>
  <c r="M58" i="22" s="1"/>
  <c r="N58" i="22" s="1"/>
  <c r="P42" i="22"/>
  <c r="M42" i="22" s="1"/>
  <c r="N42" i="22" s="1"/>
  <c r="P26" i="22"/>
  <c r="M26" i="22" s="1"/>
  <c r="N26" i="22" s="1"/>
  <c r="P51" i="22"/>
  <c r="M51" i="22" s="1"/>
  <c r="N51" i="22" s="1"/>
  <c r="P60" i="22"/>
  <c r="M60" i="22" s="1"/>
  <c r="N60" i="22" s="1"/>
  <c r="P44" i="22"/>
  <c r="M44" i="22" s="1"/>
  <c r="N44" i="22" s="1"/>
  <c r="P53" i="22"/>
  <c r="M53" i="22" s="1"/>
  <c r="N53" i="22" s="1"/>
  <c r="P37" i="22"/>
  <c r="M37" i="22" s="1"/>
  <c r="N37" i="22" s="1"/>
  <c r="P21" i="22"/>
  <c r="M21" i="22" s="1"/>
  <c r="N21" i="22" s="1"/>
  <c r="P57" i="22"/>
  <c r="M57" i="22" s="1"/>
  <c r="N57" i="22" s="1"/>
  <c r="P46" i="22"/>
  <c r="M46" i="22" s="1"/>
  <c r="N46" i="22" s="1"/>
  <c r="P61" i="22"/>
  <c r="M61" i="22" s="1"/>
  <c r="N61" i="22" s="1"/>
  <c r="P29" i="22"/>
  <c r="M29" i="22" s="1"/>
  <c r="N29" i="22" s="1"/>
  <c r="P22" i="22"/>
  <c r="M22" i="22" s="1"/>
  <c r="N22" i="22" s="1"/>
  <c r="P41" i="22"/>
  <c r="M41" i="22" s="1"/>
  <c r="N41" i="22" s="1"/>
  <c r="P45" i="22"/>
  <c r="M45" i="22" s="1"/>
  <c r="N45" i="22" s="1"/>
  <c r="P55" i="22"/>
  <c r="M55" i="22" s="1"/>
  <c r="N55" i="22" s="1"/>
  <c r="P25" i="22"/>
  <c r="M25" i="22" s="1"/>
  <c r="N25" i="22" s="1"/>
  <c r="P32" i="22"/>
  <c r="M32" i="22" s="1"/>
  <c r="N32" i="22" s="1"/>
  <c r="P28" i="22"/>
  <c r="M28" i="22" s="1"/>
  <c r="N28" i="22" s="1"/>
  <c r="P35" i="22"/>
  <c r="M35" i="22" s="1"/>
  <c r="N35" i="22" s="1"/>
  <c r="P64" i="22"/>
  <c r="M64" i="22" s="1"/>
  <c r="N64" i="22" s="1"/>
  <c r="P39" i="22"/>
  <c r="M39" i="22" s="1"/>
  <c r="N39" i="22" s="1"/>
  <c r="P31" i="22"/>
  <c r="M31" i="22" s="1"/>
  <c r="N31" i="22" s="1"/>
  <c r="P48" i="22"/>
  <c r="M48" i="22" s="1"/>
  <c r="N48" i="22" s="1"/>
  <c r="P23" i="22"/>
  <c r="M23" i="22" s="1"/>
  <c r="N23" i="22" s="1"/>
  <c r="P30" i="22"/>
  <c r="M30" i="22" s="1"/>
  <c r="N30" i="22" s="1"/>
  <c r="P47" i="22"/>
  <c r="M47" i="22" s="1"/>
  <c r="N47" i="22" s="1"/>
  <c r="P62" i="22"/>
  <c r="M62" i="22" s="1"/>
  <c r="N62" i="22" s="1"/>
  <c r="P80" i="5"/>
  <c r="D102" i="22"/>
  <c r="D124" i="22"/>
  <c r="P61" i="19"/>
  <c r="M61" i="19" s="1"/>
  <c r="N61" i="19" s="1"/>
  <c r="P60" i="19"/>
  <c r="M60" i="19" s="1"/>
  <c r="N60" i="19" s="1"/>
  <c r="P62" i="19"/>
  <c r="M62" i="19" s="1"/>
  <c r="N62" i="19" s="1"/>
  <c r="P52" i="19"/>
  <c r="M52" i="19" s="1"/>
  <c r="N52" i="19" s="1"/>
  <c r="P36" i="19"/>
  <c r="M36" i="19" s="1"/>
  <c r="N36" i="19" s="1"/>
  <c r="P45" i="19"/>
  <c r="M45" i="19" s="1"/>
  <c r="N45" i="19" s="1"/>
  <c r="P29" i="19"/>
  <c r="M29" i="19" s="1"/>
  <c r="N29" i="19" s="1"/>
  <c r="P54" i="19"/>
  <c r="M54" i="19" s="1"/>
  <c r="N54" i="19" s="1"/>
  <c r="P38" i="19"/>
  <c r="M38" i="19" s="1"/>
  <c r="N38" i="19" s="1"/>
  <c r="P22" i="19"/>
  <c r="M22" i="19" s="1"/>
  <c r="N22" i="19" s="1"/>
  <c r="P59" i="19"/>
  <c r="M59" i="19" s="1"/>
  <c r="N59" i="19" s="1"/>
  <c r="P47" i="19"/>
  <c r="M47" i="19" s="1"/>
  <c r="N47" i="19" s="1"/>
  <c r="P31" i="19"/>
  <c r="M31" i="19" s="1"/>
  <c r="N31" i="19" s="1"/>
  <c r="P64" i="19"/>
  <c r="M64" i="19" s="1"/>
  <c r="N64" i="19" s="1"/>
  <c r="P40" i="19"/>
  <c r="M40" i="19" s="1"/>
  <c r="N40" i="19" s="1"/>
  <c r="P24" i="19"/>
  <c r="M24" i="19" s="1"/>
  <c r="N24" i="19" s="1"/>
  <c r="P56" i="19"/>
  <c r="M56" i="19" s="1"/>
  <c r="N56" i="19" s="1"/>
  <c r="P49" i="19"/>
  <c r="M49" i="19" s="1"/>
  <c r="N49" i="19" s="1"/>
  <c r="P33" i="19"/>
  <c r="M33" i="19" s="1"/>
  <c r="N33" i="19" s="1"/>
  <c r="P42" i="19"/>
  <c r="M42" i="19" s="1"/>
  <c r="N42" i="19" s="1"/>
  <c r="P26" i="19"/>
  <c r="M26" i="19" s="1"/>
  <c r="N26" i="19" s="1"/>
  <c r="P51" i="19"/>
  <c r="M51" i="19" s="1"/>
  <c r="N51" i="19" s="1"/>
  <c r="P35" i="19"/>
  <c r="M35" i="19" s="1"/>
  <c r="N35" i="19" s="1"/>
  <c r="P44" i="19"/>
  <c r="M44" i="19" s="1"/>
  <c r="N44" i="19" s="1"/>
  <c r="P28" i="19"/>
  <c r="M28" i="19" s="1"/>
  <c r="N28" i="19" s="1"/>
  <c r="P58" i="19"/>
  <c r="M58" i="19" s="1"/>
  <c r="N58" i="19" s="1"/>
  <c r="P53" i="19"/>
  <c r="M53" i="19" s="1"/>
  <c r="N53" i="19" s="1"/>
  <c r="P37" i="19"/>
  <c r="M37" i="19" s="1"/>
  <c r="N37" i="19" s="1"/>
  <c r="P21" i="19"/>
  <c r="M21" i="19" s="1"/>
  <c r="N21" i="19" s="1"/>
  <c r="P63" i="19"/>
  <c r="M63" i="19" s="1"/>
  <c r="N63" i="19" s="1"/>
  <c r="P46" i="19"/>
  <c r="M46" i="19" s="1"/>
  <c r="N46" i="19" s="1"/>
  <c r="P30" i="19"/>
  <c r="M30" i="19" s="1"/>
  <c r="N30" i="19" s="1"/>
  <c r="P55" i="19"/>
  <c r="M55" i="19" s="1"/>
  <c r="N55" i="19" s="1"/>
  <c r="P39" i="19"/>
  <c r="M39" i="19" s="1"/>
  <c r="N39" i="19" s="1"/>
  <c r="P23" i="19"/>
  <c r="M23" i="19" s="1"/>
  <c r="N23" i="19" s="1"/>
  <c r="P48" i="19"/>
  <c r="M48" i="19" s="1"/>
  <c r="N48" i="19" s="1"/>
  <c r="P32" i="19"/>
  <c r="M32" i="19" s="1"/>
  <c r="N32" i="19" s="1"/>
  <c r="P65" i="19"/>
  <c r="M65" i="19" s="1"/>
  <c r="N65" i="19" s="1"/>
  <c r="P50" i="19"/>
  <c r="M50" i="19" s="1"/>
  <c r="N50" i="19" s="1"/>
  <c r="P34" i="19"/>
  <c r="M34" i="19" s="1"/>
  <c r="N34" i="19" s="1"/>
  <c r="P27" i="19"/>
  <c r="M27" i="19" s="1"/>
  <c r="N27" i="19" s="1"/>
  <c r="P43" i="19"/>
  <c r="M43" i="19" s="1"/>
  <c r="N43" i="19" s="1"/>
  <c r="P25" i="19"/>
  <c r="M25" i="19" s="1"/>
  <c r="N25" i="19" s="1"/>
  <c r="P41" i="19"/>
  <c r="M41" i="19" s="1"/>
  <c r="N41" i="19" s="1"/>
  <c r="P57" i="19"/>
  <c r="M57" i="19" s="1"/>
  <c r="N57" i="19" s="1"/>
  <c r="Q79" i="10"/>
  <c r="P79" i="10" s="1"/>
  <c r="O91" i="10" s="1"/>
  <c r="Q80" i="10"/>
  <c r="N101" i="10"/>
  <c r="M17" i="10" s="1"/>
  <c r="P80" i="13"/>
  <c r="O92" i="19"/>
  <c r="Q79" i="11"/>
  <c r="Q80" i="11"/>
  <c r="N101" i="11"/>
  <c r="M17" i="11" s="1"/>
  <c r="Q79" i="21"/>
  <c r="P79" i="21" s="1"/>
  <c r="O91" i="21" s="1"/>
  <c r="Q80" i="21"/>
  <c r="P80" i="21" s="1"/>
  <c r="N101" i="21"/>
  <c r="M17" i="21" s="1"/>
  <c r="D59" i="2"/>
  <c r="H57" i="2"/>
  <c r="L55" i="2"/>
  <c r="L43" i="2" s="1"/>
  <c r="F54" i="2"/>
  <c r="J52" i="2"/>
  <c r="J40" i="2" s="1"/>
  <c r="D51" i="2"/>
  <c r="C59" i="2"/>
  <c r="G57" i="2"/>
  <c r="K55" i="2"/>
  <c r="K43" i="2" s="1"/>
  <c r="E54" i="2"/>
  <c r="I52" i="2"/>
  <c r="I40" i="2" s="1"/>
  <c r="C51" i="2"/>
  <c r="L58" i="2"/>
  <c r="L46" i="2" s="1"/>
  <c r="F57" i="2"/>
  <c r="J55" i="2"/>
  <c r="J43" i="2" s="1"/>
  <c r="D54" i="2"/>
  <c r="H52" i="2"/>
  <c r="H40" i="2" s="1"/>
  <c r="L50" i="2"/>
  <c r="L38" i="2" s="1"/>
  <c r="K58" i="2"/>
  <c r="E57" i="2"/>
  <c r="I55" i="2"/>
  <c r="I43" i="2" s="1"/>
  <c r="C54" i="2"/>
  <c r="G52" i="2"/>
  <c r="G40" i="2" s="1"/>
  <c r="K50" i="2"/>
  <c r="K38" i="2" s="1"/>
  <c r="J58" i="2"/>
  <c r="D57" i="2"/>
  <c r="H55" i="2"/>
  <c r="L53" i="2"/>
  <c r="L41" i="2" s="1"/>
  <c r="F52" i="2"/>
  <c r="F40" i="2" s="1"/>
  <c r="J50" i="2"/>
  <c r="J38" i="2" s="1"/>
  <c r="I58" i="2"/>
  <c r="C57" i="2"/>
  <c r="G55" i="2"/>
  <c r="K53" i="2"/>
  <c r="K41" i="2" s="1"/>
  <c r="E52" i="2"/>
  <c r="I50" i="2"/>
  <c r="I38" i="2" s="1"/>
  <c r="H58" i="2"/>
  <c r="L56" i="2"/>
  <c r="L44" i="2" s="1"/>
  <c r="F55" i="2"/>
  <c r="J53" i="2"/>
  <c r="J41" i="2" s="1"/>
  <c r="D52" i="2"/>
  <c r="H50" i="2"/>
  <c r="H38" i="2" s="1"/>
  <c r="G58" i="2"/>
  <c r="K56" i="2"/>
  <c r="K44" i="2" s="1"/>
  <c r="E55" i="2"/>
  <c r="I53" i="2"/>
  <c r="I41" i="2" s="1"/>
  <c r="C52" i="2"/>
  <c r="G50" i="2"/>
  <c r="G38" i="2" s="1"/>
  <c r="E51" i="2"/>
  <c r="E39" i="2" s="1"/>
  <c r="L59" i="2"/>
  <c r="F58" i="2"/>
  <c r="J56" i="2"/>
  <c r="J44" i="2" s="1"/>
  <c r="D55" i="2"/>
  <c r="H53" i="2"/>
  <c r="H41" i="2" s="1"/>
  <c r="L51" i="2"/>
  <c r="L39" i="2" s="1"/>
  <c r="F50" i="2"/>
  <c r="F38" i="2" s="1"/>
  <c r="K59" i="2"/>
  <c r="E58" i="2"/>
  <c r="I56" i="2"/>
  <c r="C55" i="2"/>
  <c r="G53" i="2"/>
  <c r="G41" i="2" s="1"/>
  <c r="K51" i="2"/>
  <c r="K39" i="2" s="1"/>
  <c r="E50" i="2"/>
  <c r="E38" i="2" s="1"/>
  <c r="J59" i="2"/>
  <c r="D58" i="2"/>
  <c r="H56" i="2"/>
  <c r="L54" i="2"/>
  <c r="L42" i="2" s="1"/>
  <c r="F53" i="2"/>
  <c r="J51" i="2"/>
  <c r="J39" i="2" s="1"/>
  <c r="D50" i="2"/>
  <c r="D38" i="2" s="1"/>
  <c r="C56" i="2"/>
  <c r="I59" i="2"/>
  <c r="C58" i="2"/>
  <c r="G56" i="2"/>
  <c r="K54" i="2"/>
  <c r="K42" i="2" s="1"/>
  <c r="E53" i="2"/>
  <c r="I51" i="2"/>
  <c r="I39" i="2" s="1"/>
  <c r="H59" i="2"/>
  <c r="L57" i="2"/>
  <c r="L45" i="2" s="1"/>
  <c r="F56" i="2"/>
  <c r="J54" i="2"/>
  <c r="J42" i="2" s="1"/>
  <c r="D53" i="2"/>
  <c r="H51" i="2"/>
  <c r="H39" i="2" s="1"/>
  <c r="C50" i="2"/>
  <c r="G59" i="2"/>
  <c r="K57" i="2"/>
  <c r="K45" i="2" s="1"/>
  <c r="E56" i="2"/>
  <c r="I54" i="2"/>
  <c r="I42" i="2" s="1"/>
  <c r="C53" i="2"/>
  <c r="G51" i="2"/>
  <c r="G39" i="2" s="1"/>
  <c r="E59" i="2"/>
  <c r="G54" i="2"/>
  <c r="K52" i="2"/>
  <c r="K40" i="2" s="1"/>
  <c r="F59" i="2"/>
  <c r="J57" i="2"/>
  <c r="D56" i="2"/>
  <c r="H54" i="2"/>
  <c r="H42" i="2" s="1"/>
  <c r="L52" i="2"/>
  <c r="L40" i="2" s="1"/>
  <c r="F51" i="2"/>
  <c r="F39" i="2" s="1"/>
  <c r="I57" i="2"/>
  <c r="P79" i="19"/>
  <c r="P50" i="20"/>
  <c r="M50" i="20" s="1"/>
  <c r="N50" i="20" s="1"/>
  <c r="P34" i="20"/>
  <c r="M34" i="20" s="1"/>
  <c r="N34" i="20" s="1"/>
  <c r="P59" i="20"/>
  <c r="M59" i="20" s="1"/>
  <c r="N59" i="20" s="1"/>
  <c r="P43" i="20"/>
  <c r="M43" i="20" s="1"/>
  <c r="N43" i="20" s="1"/>
  <c r="P27" i="20"/>
  <c r="M27" i="20" s="1"/>
  <c r="N27" i="20" s="1"/>
  <c r="P52" i="20"/>
  <c r="M52" i="20" s="1"/>
  <c r="N52" i="20" s="1"/>
  <c r="P36" i="20"/>
  <c r="M36" i="20" s="1"/>
  <c r="N36" i="20" s="1"/>
  <c r="P61" i="20"/>
  <c r="M61" i="20" s="1"/>
  <c r="N61" i="20" s="1"/>
  <c r="P45" i="20"/>
  <c r="M45" i="20" s="1"/>
  <c r="N45" i="20" s="1"/>
  <c r="P29" i="20"/>
  <c r="M29" i="20" s="1"/>
  <c r="N29" i="20" s="1"/>
  <c r="P54" i="20"/>
  <c r="M54" i="20" s="1"/>
  <c r="N54" i="20" s="1"/>
  <c r="P38" i="20"/>
  <c r="M38" i="20" s="1"/>
  <c r="N38" i="20" s="1"/>
  <c r="P22" i="20"/>
  <c r="M22" i="20" s="1"/>
  <c r="N22" i="20" s="1"/>
  <c r="P63" i="20"/>
  <c r="M63" i="20" s="1"/>
  <c r="N63" i="20" s="1"/>
  <c r="P47" i="20"/>
  <c r="M47" i="20" s="1"/>
  <c r="N47" i="20" s="1"/>
  <c r="P31" i="20"/>
  <c r="M31" i="20" s="1"/>
  <c r="N31" i="20" s="1"/>
  <c r="P56" i="20"/>
  <c r="M56" i="20" s="1"/>
  <c r="N56" i="20" s="1"/>
  <c r="P40" i="20"/>
  <c r="M40" i="20" s="1"/>
  <c r="N40" i="20" s="1"/>
  <c r="P24" i="20"/>
  <c r="M24" i="20" s="1"/>
  <c r="N24" i="20" s="1"/>
  <c r="P65" i="20"/>
  <c r="M65" i="20" s="1"/>
  <c r="N65" i="20" s="1"/>
  <c r="P49" i="20"/>
  <c r="M49" i="20" s="1"/>
  <c r="N49" i="20" s="1"/>
  <c r="P33" i="20"/>
  <c r="M33" i="20" s="1"/>
  <c r="N33" i="20" s="1"/>
  <c r="P58" i="20"/>
  <c r="M58" i="20" s="1"/>
  <c r="N58" i="20" s="1"/>
  <c r="P42" i="20"/>
  <c r="M42" i="20" s="1"/>
  <c r="N42" i="20" s="1"/>
  <c r="P26" i="20"/>
  <c r="M26" i="20" s="1"/>
  <c r="N26" i="20" s="1"/>
  <c r="P51" i="20"/>
  <c r="M51" i="20" s="1"/>
  <c r="N51" i="20" s="1"/>
  <c r="P35" i="20"/>
  <c r="M35" i="20" s="1"/>
  <c r="N35" i="20" s="1"/>
  <c r="P60" i="20"/>
  <c r="M60" i="20" s="1"/>
  <c r="N60" i="20" s="1"/>
  <c r="P44" i="20"/>
  <c r="M44" i="20" s="1"/>
  <c r="N44" i="20" s="1"/>
  <c r="P28" i="20"/>
  <c r="M28" i="20" s="1"/>
  <c r="N28" i="20" s="1"/>
  <c r="P53" i="20"/>
  <c r="M53" i="20" s="1"/>
  <c r="N53" i="20" s="1"/>
  <c r="P37" i="20"/>
  <c r="M37" i="20" s="1"/>
  <c r="N37" i="20" s="1"/>
  <c r="P21" i="20"/>
  <c r="M21" i="20" s="1"/>
  <c r="N21" i="20" s="1"/>
  <c r="P62" i="20"/>
  <c r="M62" i="20" s="1"/>
  <c r="N62" i="20" s="1"/>
  <c r="P55" i="20"/>
  <c r="M55" i="20" s="1"/>
  <c r="N55" i="20" s="1"/>
  <c r="P39" i="20"/>
  <c r="M39" i="20" s="1"/>
  <c r="N39" i="20" s="1"/>
  <c r="P23" i="20"/>
  <c r="M23" i="20" s="1"/>
  <c r="N23" i="20" s="1"/>
  <c r="P57" i="20"/>
  <c r="M57" i="20" s="1"/>
  <c r="N57" i="20" s="1"/>
  <c r="P64" i="20"/>
  <c r="M64" i="20" s="1"/>
  <c r="N64" i="20" s="1"/>
  <c r="P48" i="20"/>
  <c r="M48" i="20" s="1"/>
  <c r="N48" i="20" s="1"/>
  <c r="P41" i="20"/>
  <c r="M41" i="20" s="1"/>
  <c r="N41" i="20" s="1"/>
  <c r="P46" i="20"/>
  <c r="M46" i="20" s="1"/>
  <c r="N46" i="20" s="1"/>
  <c r="P32" i="20"/>
  <c r="M32" i="20" s="1"/>
  <c r="N32" i="20" s="1"/>
  <c r="P25" i="20"/>
  <c r="M25" i="20" s="1"/>
  <c r="N25" i="20" s="1"/>
  <c r="P30" i="20"/>
  <c r="M30" i="20" s="1"/>
  <c r="N30" i="20" s="1"/>
  <c r="D102" i="3"/>
  <c r="P21" i="3" s="1"/>
  <c r="M21" i="3" s="1"/>
  <c r="N21" i="3" s="1"/>
  <c r="D124" i="3"/>
  <c r="D102" i="9"/>
  <c r="D124" i="9"/>
  <c r="Q79" i="17"/>
  <c r="P79" i="17" s="1"/>
  <c r="O91" i="17" s="1"/>
  <c r="Q80" i="17"/>
  <c r="P80" i="17" s="1"/>
  <c r="N101" i="17"/>
  <c r="M17" i="17" s="1"/>
  <c r="D102" i="6"/>
  <c r="P21" i="6" s="1"/>
  <c r="D124" i="6"/>
  <c r="D102" i="20"/>
  <c r="D124" i="20"/>
  <c r="P79" i="20"/>
  <c r="R79" i="4"/>
  <c r="R79" i="11"/>
  <c r="P59" i="3"/>
  <c r="M59" i="3" s="1"/>
  <c r="N59" i="3" s="1"/>
  <c r="P43" i="3"/>
  <c r="M43" i="3" s="1"/>
  <c r="N43" i="3" s="1"/>
  <c r="P27" i="3"/>
  <c r="M27" i="3" s="1"/>
  <c r="N27" i="3" s="1"/>
  <c r="P52" i="3"/>
  <c r="M52" i="3" s="1"/>
  <c r="N52" i="3" s="1"/>
  <c r="P36" i="3"/>
  <c r="M36" i="3" s="1"/>
  <c r="N36" i="3" s="1"/>
  <c r="P61" i="3"/>
  <c r="M61" i="3" s="1"/>
  <c r="N61" i="3" s="1"/>
  <c r="P45" i="3"/>
  <c r="M45" i="3" s="1"/>
  <c r="N45" i="3" s="1"/>
  <c r="P29" i="3"/>
  <c r="M29" i="3" s="1"/>
  <c r="N29" i="3" s="1"/>
  <c r="P54" i="3"/>
  <c r="M54" i="3" s="1"/>
  <c r="N54" i="3" s="1"/>
  <c r="P38" i="3"/>
  <c r="M38" i="3" s="1"/>
  <c r="N38" i="3" s="1"/>
  <c r="P63" i="3"/>
  <c r="M63" i="3" s="1"/>
  <c r="N63" i="3" s="1"/>
  <c r="P47" i="3"/>
  <c r="M47" i="3" s="1"/>
  <c r="N47" i="3" s="1"/>
  <c r="P31" i="3"/>
  <c r="M31" i="3" s="1"/>
  <c r="N31" i="3" s="1"/>
  <c r="P56" i="3"/>
  <c r="M56" i="3" s="1"/>
  <c r="N56" i="3" s="1"/>
  <c r="P40" i="3"/>
  <c r="M40" i="3" s="1"/>
  <c r="N40" i="3" s="1"/>
  <c r="P24" i="3"/>
  <c r="M24" i="3" s="1"/>
  <c r="N24" i="3" s="1"/>
  <c r="P65" i="3"/>
  <c r="M65" i="3" s="1"/>
  <c r="N65" i="3" s="1"/>
  <c r="P49" i="3"/>
  <c r="M49" i="3" s="1"/>
  <c r="N49" i="3" s="1"/>
  <c r="P33" i="3"/>
  <c r="M33" i="3" s="1"/>
  <c r="N33" i="3" s="1"/>
  <c r="P58" i="3"/>
  <c r="M58" i="3" s="1"/>
  <c r="N58" i="3" s="1"/>
  <c r="P42" i="3"/>
  <c r="M42" i="3" s="1"/>
  <c r="N42" i="3" s="1"/>
  <c r="P26" i="3"/>
  <c r="M26" i="3" s="1"/>
  <c r="N26" i="3" s="1"/>
  <c r="P50" i="3"/>
  <c r="M50" i="3" s="1"/>
  <c r="N50" i="3" s="1"/>
  <c r="P51" i="3"/>
  <c r="M51" i="3" s="1"/>
  <c r="N51" i="3" s="1"/>
  <c r="P35" i="3"/>
  <c r="M35" i="3" s="1"/>
  <c r="N35" i="3" s="1"/>
  <c r="P60" i="3"/>
  <c r="M60" i="3" s="1"/>
  <c r="N60" i="3" s="1"/>
  <c r="P44" i="3"/>
  <c r="M44" i="3" s="1"/>
  <c r="N44" i="3" s="1"/>
  <c r="P53" i="3"/>
  <c r="M53" i="3" s="1"/>
  <c r="N53" i="3" s="1"/>
  <c r="P37" i="3"/>
  <c r="M37" i="3" s="1"/>
  <c r="N37" i="3" s="1"/>
  <c r="P62" i="3"/>
  <c r="M62" i="3" s="1"/>
  <c r="N62" i="3" s="1"/>
  <c r="P46" i="3"/>
  <c r="M46" i="3" s="1"/>
  <c r="N46" i="3" s="1"/>
  <c r="P30" i="3"/>
  <c r="M30" i="3" s="1"/>
  <c r="N30" i="3" s="1"/>
  <c r="P34" i="3"/>
  <c r="M34" i="3" s="1"/>
  <c r="N34" i="3" s="1"/>
  <c r="P55" i="3"/>
  <c r="M55" i="3" s="1"/>
  <c r="N55" i="3" s="1"/>
  <c r="P39" i="3"/>
  <c r="M39" i="3" s="1"/>
  <c r="N39" i="3" s="1"/>
  <c r="P23" i="3"/>
  <c r="M23" i="3" s="1"/>
  <c r="N23" i="3" s="1"/>
  <c r="P64" i="3"/>
  <c r="M64" i="3" s="1"/>
  <c r="N64" i="3" s="1"/>
  <c r="P48" i="3"/>
  <c r="M48" i="3" s="1"/>
  <c r="N48" i="3" s="1"/>
  <c r="P32" i="3"/>
  <c r="M32" i="3" s="1"/>
  <c r="N32" i="3" s="1"/>
  <c r="P57" i="3"/>
  <c r="M57" i="3" s="1"/>
  <c r="N57" i="3" s="1"/>
  <c r="P41" i="3"/>
  <c r="M41" i="3" s="1"/>
  <c r="N41" i="3" s="1"/>
  <c r="P25" i="3"/>
  <c r="M25" i="3" s="1"/>
  <c r="N25" i="3" s="1"/>
  <c r="D113" i="11"/>
  <c r="P80" i="3"/>
  <c r="M28" i="7" l="1"/>
  <c r="N28" i="7" s="1"/>
  <c r="M21" i="7"/>
  <c r="N21" i="7" s="1"/>
  <c r="M22" i="7"/>
  <c r="N22" i="7" s="1"/>
  <c r="D102" i="21"/>
  <c r="M22" i="6"/>
  <c r="N22" i="6" s="1"/>
  <c r="M21" i="6"/>
  <c r="N21" i="6" s="1"/>
  <c r="M28" i="6"/>
  <c r="N28" i="6" s="1"/>
  <c r="D124" i="12"/>
  <c r="D102" i="17"/>
  <c r="D124" i="15"/>
  <c r="P22" i="12"/>
  <c r="M22" i="12" s="1"/>
  <c r="N22" i="12" s="1"/>
  <c r="P23" i="12"/>
  <c r="M23" i="12" s="1"/>
  <c r="N23" i="12" s="1"/>
  <c r="P81" i="11"/>
  <c r="O93" i="11" s="1"/>
  <c r="P51" i="12"/>
  <c r="M51" i="12" s="1"/>
  <c r="N51" i="12" s="1"/>
  <c r="P61" i="12"/>
  <c r="M61" i="12" s="1"/>
  <c r="N61" i="12" s="1"/>
  <c r="P62" i="12"/>
  <c r="M62" i="12" s="1"/>
  <c r="N62" i="12" s="1"/>
  <c r="P81" i="5"/>
  <c r="O93" i="5" s="1"/>
  <c r="P33" i="12"/>
  <c r="M33" i="12" s="1"/>
  <c r="N33" i="12" s="1"/>
  <c r="P59" i="12"/>
  <c r="M59" i="12" s="1"/>
  <c r="N59" i="12" s="1"/>
  <c r="P44" i="12"/>
  <c r="M44" i="12" s="1"/>
  <c r="N44" i="12" s="1"/>
  <c r="P49" i="12"/>
  <c r="M49" i="12" s="1"/>
  <c r="N49" i="12" s="1"/>
  <c r="P34" i="12"/>
  <c r="M34" i="12" s="1"/>
  <c r="N34" i="12" s="1"/>
  <c r="O91" i="15"/>
  <c r="O101" i="9"/>
  <c r="O7" i="9" s="1"/>
  <c r="P7" i="16"/>
  <c r="P12" i="16"/>
  <c r="O6" i="16"/>
  <c r="O9" i="16"/>
  <c r="P6" i="16"/>
  <c r="O11" i="16"/>
  <c r="P8" i="16"/>
  <c r="O14" i="16"/>
  <c r="O7" i="16"/>
  <c r="O15" i="16"/>
  <c r="P10" i="16"/>
  <c r="O12" i="16"/>
  <c r="O13" i="16"/>
  <c r="O10" i="16"/>
  <c r="O8" i="16"/>
  <c r="P11" i="16"/>
  <c r="P13" i="16"/>
  <c r="P15" i="16"/>
  <c r="P14" i="16"/>
  <c r="P9" i="16"/>
  <c r="O101" i="22"/>
  <c r="P7" i="22" s="1"/>
  <c r="O6" i="22"/>
  <c r="P79" i="12"/>
  <c r="O91" i="12" s="1"/>
  <c r="E125" i="21"/>
  <c r="E103" i="21"/>
  <c r="E102" i="17"/>
  <c r="E124" i="17"/>
  <c r="V63" i="2"/>
  <c r="P80" i="11"/>
  <c r="E102" i="11"/>
  <c r="E124" i="11"/>
  <c r="E103" i="3"/>
  <c r="P28" i="3" s="1"/>
  <c r="M28" i="3" s="1"/>
  <c r="N28" i="3" s="1"/>
  <c r="E125" i="3"/>
  <c r="E103" i="4"/>
  <c r="E125" i="4"/>
  <c r="E103" i="9"/>
  <c r="E125" i="9"/>
  <c r="E103" i="11"/>
  <c r="E125" i="11"/>
  <c r="E102" i="9"/>
  <c r="E124" i="9"/>
  <c r="E102" i="3"/>
  <c r="P22" i="3" s="1"/>
  <c r="M22" i="3" s="1"/>
  <c r="N22" i="3" s="1"/>
  <c r="E124" i="3"/>
  <c r="E102" i="10"/>
  <c r="E124" i="10"/>
  <c r="E102" i="18"/>
  <c r="E124" i="18"/>
  <c r="E102" i="22"/>
  <c r="E124" i="22"/>
  <c r="E103" i="13"/>
  <c r="E125" i="13"/>
  <c r="E103" i="10"/>
  <c r="E125" i="10"/>
  <c r="P81" i="17"/>
  <c r="O93" i="17" s="1"/>
  <c r="P80" i="15"/>
  <c r="O92" i="15" s="1"/>
  <c r="E102" i="5"/>
  <c r="P22" i="5" s="1"/>
  <c r="M22" i="5" s="1"/>
  <c r="N22" i="5" s="1"/>
  <c r="E124" i="5"/>
  <c r="E103" i="15"/>
  <c r="E125" i="15"/>
  <c r="P80" i="12"/>
  <c r="O92" i="12" s="1"/>
  <c r="E124" i="13"/>
  <c r="E102" i="13"/>
  <c r="E102" i="4"/>
  <c r="E124" i="4"/>
  <c r="E102" i="15"/>
  <c r="E124" i="15"/>
  <c r="E103" i="5"/>
  <c r="P28" i="5" s="1"/>
  <c r="M28" i="5" s="1"/>
  <c r="N28" i="5" s="1"/>
  <c r="E125" i="5"/>
  <c r="E103" i="12"/>
  <c r="E125" i="12"/>
  <c r="E102" i="20"/>
  <c r="E124" i="20"/>
  <c r="P80" i="10"/>
  <c r="O92" i="10" s="1"/>
  <c r="E124" i="12"/>
  <c r="E102" i="12"/>
  <c r="E103" i="20"/>
  <c r="E125" i="20"/>
  <c r="D124" i="10"/>
  <c r="E125" i="18"/>
  <c r="E103" i="18"/>
  <c r="E103" i="22"/>
  <c r="E125" i="22"/>
  <c r="E102" i="21"/>
  <c r="E124" i="21"/>
  <c r="E103" i="17"/>
  <c r="E125" i="17"/>
  <c r="P13" i="7"/>
  <c r="P8" i="7"/>
  <c r="P10" i="7"/>
  <c r="P12" i="7"/>
  <c r="P15" i="7"/>
  <c r="P11" i="7"/>
  <c r="P14" i="7"/>
  <c r="P9" i="7"/>
  <c r="O13" i="7"/>
  <c r="O14" i="7"/>
  <c r="O15" i="7"/>
  <c r="O10" i="7"/>
  <c r="O9" i="7"/>
  <c r="O12" i="7"/>
  <c r="O11" i="7"/>
  <c r="O8" i="7"/>
  <c r="P6" i="7"/>
  <c r="O6" i="7"/>
  <c r="P7" i="7"/>
  <c r="O92" i="17"/>
  <c r="J11" i="24"/>
  <c r="I46" i="2"/>
  <c r="H13" i="24" s="1"/>
  <c r="K8" i="24"/>
  <c r="F47" i="2"/>
  <c r="E14" i="24" s="1"/>
  <c r="J9" i="24"/>
  <c r="G46" i="2"/>
  <c r="F13" i="24" s="1"/>
  <c r="H7" i="24"/>
  <c r="E44" i="2"/>
  <c r="D11" i="24" s="1"/>
  <c r="P51" i="11"/>
  <c r="M51" i="11" s="1"/>
  <c r="N51" i="11" s="1"/>
  <c r="P35" i="11"/>
  <c r="M35" i="11" s="1"/>
  <c r="N35" i="11" s="1"/>
  <c r="P60" i="11"/>
  <c r="M60" i="11" s="1"/>
  <c r="N60" i="11" s="1"/>
  <c r="P44" i="11"/>
  <c r="M44" i="11" s="1"/>
  <c r="N44" i="11" s="1"/>
  <c r="P28" i="11"/>
  <c r="M28" i="11" s="1"/>
  <c r="N28" i="11" s="1"/>
  <c r="P53" i="11"/>
  <c r="M53" i="11" s="1"/>
  <c r="N53" i="11" s="1"/>
  <c r="P37" i="11"/>
  <c r="M37" i="11" s="1"/>
  <c r="N37" i="11" s="1"/>
  <c r="P21" i="11"/>
  <c r="M21" i="11" s="1"/>
  <c r="N21" i="11" s="1"/>
  <c r="P62" i="11"/>
  <c r="M62" i="11" s="1"/>
  <c r="N62" i="11" s="1"/>
  <c r="P46" i="11"/>
  <c r="M46" i="11" s="1"/>
  <c r="N46" i="11" s="1"/>
  <c r="P30" i="11"/>
  <c r="M30" i="11" s="1"/>
  <c r="N30" i="11" s="1"/>
  <c r="P55" i="11"/>
  <c r="M55" i="11" s="1"/>
  <c r="N55" i="11" s="1"/>
  <c r="P39" i="11"/>
  <c r="M39" i="11" s="1"/>
  <c r="N39" i="11" s="1"/>
  <c r="P23" i="11"/>
  <c r="M23" i="11" s="1"/>
  <c r="N23" i="11" s="1"/>
  <c r="P64" i="11"/>
  <c r="M64" i="11" s="1"/>
  <c r="N64" i="11" s="1"/>
  <c r="P48" i="11"/>
  <c r="M48" i="11" s="1"/>
  <c r="N48" i="11" s="1"/>
  <c r="P32" i="11"/>
  <c r="M32" i="11" s="1"/>
  <c r="N32" i="11" s="1"/>
  <c r="P57" i="11"/>
  <c r="M57" i="11" s="1"/>
  <c r="N57" i="11" s="1"/>
  <c r="P41" i="11"/>
  <c r="M41" i="11" s="1"/>
  <c r="N41" i="11" s="1"/>
  <c r="P25" i="11"/>
  <c r="M25" i="11" s="1"/>
  <c r="N25" i="11" s="1"/>
  <c r="P50" i="11"/>
  <c r="M50" i="11" s="1"/>
  <c r="N50" i="11" s="1"/>
  <c r="P34" i="11"/>
  <c r="M34" i="11" s="1"/>
  <c r="N34" i="11" s="1"/>
  <c r="P59" i="11"/>
  <c r="M59" i="11" s="1"/>
  <c r="N59" i="11" s="1"/>
  <c r="P43" i="11"/>
  <c r="M43" i="11" s="1"/>
  <c r="N43" i="11" s="1"/>
  <c r="P27" i="11"/>
  <c r="M27" i="11" s="1"/>
  <c r="N27" i="11" s="1"/>
  <c r="P52" i="11"/>
  <c r="M52" i="11" s="1"/>
  <c r="N52" i="11" s="1"/>
  <c r="P36" i="11"/>
  <c r="M36" i="11" s="1"/>
  <c r="N36" i="11" s="1"/>
  <c r="P61" i="11"/>
  <c r="M61" i="11" s="1"/>
  <c r="N61" i="11" s="1"/>
  <c r="P45" i="11"/>
  <c r="M45" i="11" s="1"/>
  <c r="N45" i="11" s="1"/>
  <c r="P29" i="11"/>
  <c r="M29" i="11" s="1"/>
  <c r="N29" i="11" s="1"/>
  <c r="P54" i="11"/>
  <c r="M54" i="11" s="1"/>
  <c r="N54" i="11" s="1"/>
  <c r="P38" i="11"/>
  <c r="M38" i="11" s="1"/>
  <c r="N38" i="11" s="1"/>
  <c r="P22" i="11"/>
  <c r="M22" i="11" s="1"/>
  <c r="N22" i="11" s="1"/>
  <c r="P63" i="11"/>
  <c r="M63" i="11" s="1"/>
  <c r="N63" i="11" s="1"/>
  <c r="P47" i="11"/>
  <c r="M47" i="11" s="1"/>
  <c r="N47" i="11" s="1"/>
  <c r="P31" i="11"/>
  <c r="M31" i="11" s="1"/>
  <c r="N31" i="11" s="1"/>
  <c r="P65" i="11"/>
  <c r="M65" i="11" s="1"/>
  <c r="N65" i="11" s="1"/>
  <c r="P49" i="11"/>
  <c r="M49" i="11" s="1"/>
  <c r="N49" i="11" s="1"/>
  <c r="P33" i="11"/>
  <c r="M33" i="11" s="1"/>
  <c r="N33" i="11" s="1"/>
  <c r="P56" i="11"/>
  <c r="M56" i="11" s="1"/>
  <c r="N56" i="11" s="1"/>
  <c r="P40" i="11"/>
  <c r="M40" i="11" s="1"/>
  <c r="N40" i="11" s="1"/>
  <c r="P24" i="11"/>
  <c r="M24" i="11" s="1"/>
  <c r="N24" i="11" s="1"/>
  <c r="P58" i="11"/>
  <c r="M58" i="11" s="1"/>
  <c r="N58" i="11" s="1"/>
  <c r="P42" i="11"/>
  <c r="M42" i="11" s="1"/>
  <c r="N42" i="11" s="1"/>
  <c r="P26" i="11"/>
  <c r="M26" i="11" s="1"/>
  <c r="N26" i="11" s="1"/>
  <c r="K13" i="24"/>
  <c r="K47" i="2"/>
  <c r="J14" i="24" s="1"/>
  <c r="F6" i="24"/>
  <c r="D42" i="2"/>
  <c r="C9" i="24" s="1"/>
  <c r="G5" i="24"/>
  <c r="C43" i="2"/>
  <c r="B10" i="24" s="1"/>
  <c r="O92" i="11"/>
  <c r="O101" i="8"/>
  <c r="O6" i="8" s="1"/>
  <c r="I5" i="24"/>
  <c r="C45" i="2"/>
  <c r="B12" i="24" s="1"/>
  <c r="E7" i="24"/>
  <c r="E41" i="2"/>
  <c r="D8" i="24" s="1"/>
  <c r="J10" i="24"/>
  <c r="H46" i="2"/>
  <c r="G13" i="24" s="1"/>
  <c r="P79" i="11"/>
  <c r="P8" i="9"/>
  <c r="P15" i="9"/>
  <c r="P13" i="9"/>
  <c r="P9" i="9"/>
  <c r="P11" i="9"/>
  <c r="P12" i="9"/>
  <c r="P14" i="9"/>
  <c r="O9" i="9"/>
  <c r="O10" i="9"/>
  <c r="O11" i="9"/>
  <c r="O12" i="9"/>
  <c r="O8" i="9"/>
  <c r="O15" i="9"/>
  <c r="O13" i="9"/>
  <c r="P10" i="9"/>
  <c r="O14" i="9"/>
  <c r="P6" i="9"/>
  <c r="F8" i="24"/>
  <c r="F42" i="2"/>
  <c r="E9" i="24" s="1"/>
  <c r="H9" i="24"/>
  <c r="G44" i="2"/>
  <c r="F11" i="24" s="1"/>
  <c r="E5" i="24"/>
  <c r="C41" i="2"/>
  <c r="B8" i="24" s="1"/>
  <c r="I8" i="24"/>
  <c r="F45" i="2"/>
  <c r="E12" i="24" s="1"/>
  <c r="J5" i="24"/>
  <c r="C46" i="2"/>
  <c r="B13" i="24" s="1"/>
  <c r="O6" i="9"/>
  <c r="K85" i="2"/>
  <c r="K84" i="2"/>
  <c r="K105" i="2" s="1"/>
  <c r="K6" i="24"/>
  <c r="D47" i="2"/>
  <c r="C14" i="24" s="1"/>
  <c r="F7" i="24"/>
  <c r="E42" i="2"/>
  <c r="D9" i="24" s="1"/>
  <c r="O92" i="5"/>
  <c r="P50" i="4"/>
  <c r="M50" i="4" s="1"/>
  <c r="N50" i="4" s="1"/>
  <c r="P34" i="4"/>
  <c r="M34" i="4" s="1"/>
  <c r="N34" i="4" s="1"/>
  <c r="P59" i="4"/>
  <c r="M59" i="4" s="1"/>
  <c r="N59" i="4" s="1"/>
  <c r="P43" i="4"/>
  <c r="M43" i="4" s="1"/>
  <c r="N43" i="4" s="1"/>
  <c r="P27" i="4"/>
  <c r="M27" i="4" s="1"/>
  <c r="N27" i="4" s="1"/>
  <c r="P52" i="4"/>
  <c r="M52" i="4" s="1"/>
  <c r="N52" i="4" s="1"/>
  <c r="P36" i="4"/>
  <c r="M36" i="4" s="1"/>
  <c r="N36" i="4" s="1"/>
  <c r="P61" i="4"/>
  <c r="M61" i="4" s="1"/>
  <c r="N61" i="4" s="1"/>
  <c r="P45" i="4"/>
  <c r="M45" i="4" s="1"/>
  <c r="N45" i="4" s="1"/>
  <c r="P29" i="4"/>
  <c r="M29" i="4" s="1"/>
  <c r="N29" i="4" s="1"/>
  <c r="P25" i="4"/>
  <c r="M25" i="4" s="1"/>
  <c r="N25" i="4" s="1"/>
  <c r="P54" i="4"/>
  <c r="M54" i="4" s="1"/>
  <c r="N54" i="4" s="1"/>
  <c r="P38" i="4"/>
  <c r="M38" i="4" s="1"/>
  <c r="N38" i="4" s="1"/>
  <c r="P22" i="4"/>
  <c r="P41" i="4"/>
  <c r="M41" i="4" s="1"/>
  <c r="N41" i="4" s="1"/>
  <c r="P63" i="4"/>
  <c r="M63" i="4" s="1"/>
  <c r="N63" i="4" s="1"/>
  <c r="P47" i="4"/>
  <c r="M47" i="4" s="1"/>
  <c r="N47" i="4" s="1"/>
  <c r="P31" i="4"/>
  <c r="M31" i="4" s="1"/>
  <c r="N31" i="4" s="1"/>
  <c r="P56" i="4"/>
  <c r="M56" i="4" s="1"/>
  <c r="N56" i="4" s="1"/>
  <c r="P40" i="4"/>
  <c r="M40" i="4" s="1"/>
  <c r="N40" i="4" s="1"/>
  <c r="P24" i="4"/>
  <c r="M24" i="4" s="1"/>
  <c r="N24" i="4" s="1"/>
  <c r="P65" i="4"/>
  <c r="M65" i="4" s="1"/>
  <c r="N65" i="4" s="1"/>
  <c r="P49" i="4"/>
  <c r="M49" i="4" s="1"/>
  <c r="N49" i="4" s="1"/>
  <c r="P33" i="4"/>
  <c r="M33" i="4" s="1"/>
  <c r="N33" i="4" s="1"/>
  <c r="P57" i="4"/>
  <c r="M57" i="4" s="1"/>
  <c r="N57" i="4" s="1"/>
  <c r="P58" i="4"/>
  <c r="M58" i="4" s="1"/>
  <c r="N58" i="4" s="1"/>
  <c r="P42" i="4"/>
  <c r="M42" i="4" s="1"/>
  <c r="N42" i="4" s="1"/>
  <c r="P26" i="4"/>
  <c r="M26" i="4" s="1"/>
  <c r="N26" i="4" s="1"/>
  <c r="P51" i="4"/>
  <c r="M51" i="4" s="1"/>
  <c r="N51" i="4" s="1"/>
  <c r="P35" i="4"/>
  <c r="M35" i="4" s="1"/>
  <c r="N35" i="4" s="1"/>
  <c r="P60" i="4"/>
  <c r="M60" i="4" s="1"/>
  <c r="N60" i="4" s="1"/>
  <c r="P44" i="4"/>
  <c r="M44" i="4" s="1"/>
  <c r="N44" i="4" s="1"/>
  <c r="P28" i="4"/>
  <c r="M28" i="4" s="1"/>
  <c r="N28" i="4" s="1"/>
  <c r="P53" i="4"/>
  <c r="M53" i="4" s="1"/>
  <c r="N53" i="4" s="1"/>
  <c r="P37" i="4"/>
  <c r="M37" i="4" s="1"/>
  <c r="N37" i="4" s="1"/>
  <c r="P21" i="4"/>
  <c r="P62" i="4"/>
  <c r="M62" i="4" s="1"/>
  <c r="N62" i="4" s="1"/>
  <c r="P46" i="4"/>
  <c r="M46" i="4" s="1"/>
  <c r="N46" i="4" s="1"/>
  <c r="P30" i="4"/>
  <c r="M30" i="4" s="1"/>
  <c r="N30" i="4" s="1"/>
  <c r="P55" i="4"/>
  <c r="M55" i="4" s="1"/>
  <c r="N55" i="4" s="1"/>
  <c r="P39" i="4"/>
  <c r="M39" i="4" s="1"/>
  <c r="N39" i="4" s="1"/>
  <c r="P23" i="4"/>
  <c r="M23" i="4" s="1"/>
  <c r="N23" i="4" s="1"/>
  <c r="P64" i="4"/>
  <c r="M64" i="4" s="1"/>
  <c r="N64" i="4" s="1"/>
  <c r="P48" i="4"/>
  <c r="M48" i="4" s="1"/>
  <c r="N48" i="4" s="1"/>
  <c r="P32" i="4"/>
  <c r="M32" i="4" s="1"/>
  <c r="N32" i="4" s="1"/>
  <c r="L85" i="2"/>
  <c r="L84" i="2"/>
  <c r="L105" i="2" s="1"/>
  <c r="J7" i="24"/>
  <c r="E46" i="2"/>
  <c r="D13" i="24" s="1"/>
  <c r="O7" i="7"/>
  <c r="J12" i="24"/>
  <c r="J46" i="2"/>
  <c r="I13" i="24" s="1"/>
  <c r="C5" i="24"/>
  <c r="C39" i="2"/>
  <c r="B6" i="24" s="1"/>
  <c r="G8" i="24"/>
  <c r="F43" i="2"/>
  <c r="E10" i="24" s="1"/>
  <c r="K11" i="24"/>
  <c r="I47" i="2"/>
  <c r="H14" i="24" s="1"/>
  <c r="O92" i="4"/>
  <c r="C84" i="2"/>
  <c r="C105" i="2" s="1"/>
  <c r="C85" i="2"/>
  <c r="O91" i="19"/>
  <c r="I6" i="24"/>
  <c r="D45" i="2"/>
  <c r="C12" i="24" s="1"/>
  <c r="H10" i="24"/>
  <c r="H44" i="2"/>
  <c r="G11" i="24" s="1"/>
  <c r="I7" i="24"/>
  <c r="E45" i="2"/>
  <c r="D12" i="24" s="1"/>
  <c r="P79" i="4"/>
  <c r="D84" i="2"/>
  <c r="D105" i="2" s="1"/>
  <c r="D85" i="2"/>
  <c r="P7" i="9"/>
  <c r="J6" i="24"/>
  <c r="D46" i="2"/>
  <c r="C13" i="24" s="1"/>
  <c r="P60" i="17"/>
  <c r="M60" i="17" s="1"/>
  <c r="N60" i="17" s="1"/>
  <c r="P44" i="17"/>
  <c r="M44" i="17" s="1"/>
  <c r="N44" i="17" s="1"/>
  <c r="P28" i="17"/>
  <c r="M28" i="17" s="1"/>
  <c r="N28" i="17" s="1"/>
  <c r="P53" i="17"/>
  <c r="M53" i="17" s="1"/>
  <c r="N53" i="17" s="1"/>
  <c r="P37" i="17"/>
  <c r="M37" i="17" s="1"/>
  <c r="N37" i="17" s="1"/>
  <c r="P21" i="17"/>
  <c r="M21" i="17" s="1"/>
  <c r="N21" i="17" s="1"/>
  <c r="P62" i="17"/>
  <c r="M62" i="17" s="1"/>
  <c r="N62" i="17" s="1"/>
  <c r="P46" i="17"/>
  <c r="M46" i="17" s="1"/>
  <c r="N46" i="17" s="1"/>
  <c r="P30" i="17"/>
  <c r="M30" i="17" s="1"/>
  <c r="N30" i="17" s="1"/>
  <c r="P55" i="17"/>
  <c r="M55" i="17" s="1"/>
  <c r="N55" i="17" s="1"/>
  <c r="P39" i="17"/>
  <c r="M39" i="17" s="1"/>
  <c r="N39" i="17" s="1"/>
  <c r="P23" i="17"/>
  <c r="M23" i="17" s="1"/>
  <c r="N23" i="17" s="1"/>
  <c r="P64" i="17"/>
  <c r="M64" i="17" s="1"/>
  <c r="N64" i="17" s="1"/>
  <c r="P48" i="17"/>
  <c r="M48" i="17" s="1"/>
  <c r="N48" i="17" s="1"/>
  <c r="P32" i="17"/>
  <c r="M32" i="17" s="1"/>
  <c r="N32" i="17" s="1"/>
  <c r="P50" i="17"/>
  <c r="M50" i="17" s="1"/>
  <c r="N50" i="17" s="1"/>
  <c r="P34" i="17"/>
  <c r="M34" i="17" s="1"/>
  <c r="N34" i="17" s="1"/>
  <c r="P59" i="17"/>
  <c r="M59" i="17" s="1"/>
  <c r="N59" i="17" s="1"/>
  <c r="P43" i="17"/>
  <c r="M43" i="17" s="1"/>
  <c r="N43" i="17" s="1"/>
  <c r="P27" i="17"/>
  <c r="M27" i="17" s="1"/>
  <c r="N27" i="17" s="1"/>
  <c r="P52" i="17"/>
  <c r="M52" i="17" s="1"/>
  <c r="N52" i="17" s="1"/>
  <c r="P36" i="17"/>
  <c r="M36" i="17" s="1"/>
  <c r="N36" i="17" s="1"/>
  <c r="P61" i="17"/>
  <c r="M61" i="17" s="1"/>
  <c r="N61" i="17" s="1"/>
  <c r="P45" i="17"/>
  <c r="M45" i="17" s="1"/>
  <c r="N45" i="17" s="1"/>
  <c r="P29" i="17"/>
  <c r="M29" i="17" s="1"/>
  <c r="N29" i="17" s="1"/>
  <c r="P54" i="17"/>
  <c r="M54" i="17" s="1"/>
  <c r="N54" i="17" s="1"/>
  <c r="P38" i="17"/>
  <c r="M38" i="17" s="1"/>
  <c r="N38" i="17" s="1"/>
  <c r="P22" i="17"/>
  <c r="M22" i="17" s="1"/>
  <c r="N22" i="17" s="1"/>
  <c r="P63" i="17"/>
  <c r="M63" i="17" s="1"/>
  <c r="N63" i="17" s="1"/>
  <c r="P47" i="17"/>
  <c r="M47" i="17" s="1"/>
  <c r="N47" i="17" s="1"/>
  <c r="P31" i="17"/>
  <c r="M31" i="17" s="1"/>
  <c r="N31" i="17" s="1"/>
  <c r="P65" i="17"/>
  <c r="M65" i="17" s="1"/>
  <c r="N65" i="17" s="1"/>
  <c r="P49" i="17"/>
  <c r="M49" i="17" s="1"/>
  <c r="N49" i="17" s="1"/>
  <c r="P33" i="17"/>
  <c r="M33" i="17" s="1"/>
  <c r="N33" i="17" s="1"/>
  <c r="P25" i="17"/>
  <c r="M25" i="17" s="1"/>
  <c r="N25" i="17" s="1"/>
  <c r="P42" i="17"/>
  <c r="M42" i="17" s="1"/>
  <c r="N42" i="17" s="1"/>
  <c r="P41" i="17"/>
  <c r="M41" i="17" s="1"/>
  <c r="N41" i="17" s="1"/>
  <c r="P24" i="17"/>
  <c r="M24" i="17" s="1"/>
  <c r="N24" i="17" s="1"/>
  <c r="P35" i="17"/>
  <c r="M35" i="17" s="1"/>
  <c r="N35" i="17" s="1"/>
  <c r="P40" i="17"/>
  <c r="M40" i="17" s="1"/>
  <c r="N40" i="17" s="1"/>
  <c r="P58" i="17"/>
  <c r="M58" i="17" s="1"/>
  <c r="N58" i="17" s="1"/>
  <c r="P57" i="17"/>
  <c r="M57" i="17" s="1"/>
  <c r="N57" i="17" s="1"/>
  <c r="P51" i="17"/>
  <c r="M51" i="17" s="1"/>
  <c r="N51" i="17" s="1"/>
  <c r="P56" i="17"/>
  <c r="M56" i="17" s="1"/>
  <c r="N56" i="17" s="1"/>
  <c r="P26" i="17"/>
  <c r="M26" i="17" s="1"/>
  <c r="N26" i="17" s="1"/>
  <c r="H6" i="24"/>
  <c r="D44" i="2"/>
  <c r="C11" i="24" s="1"/>
  <c r="O92" i="3"/>
  <c r="O101" i="3" s="1"/>
  <c r="O6" i="3" s="1"/>
  <c r="I11" i="24"/>
  <c r="I45" i="2"/>
  <c r="H12" i="24" s="1"/>
  <c r="H5" i="24"/>
  <c r="C44" i="2"/>
  <c r="B11" i="24" s="1"/>
  <c r="E84" i="2"/>
  <c r="E105" i="2" s="1"/>
  <c r="E85" i="2"/>
  <c r="D124" i="11"/>
  <c r="D102" i="11"/>
  <c r="E6" i="24"/>
  <c r="D41" i="2"/>
  <c r="C8" i="24" s="1"/>
  <c r="G6" i="24"/>
  <c r="D43" i="2"/>
  <c r="C10" i="24" s="1"/>
  <c r="K9" i="24"/>
  <c r="G47" i="2"/>
  <c r="F14" i="24" s="1"/>
  <c r="K10" i="24"/>
  <c r="H47" i="2"/>
  <c r="G14" i="24" s="1"/>
  <c r="F84" i="2"/>
  <c r="F105" i="2" s="1"/>
  <c r="F85" i="2"/>
  <c r="O7" i="8"/>
  <c r="O91" i="20"/>
  <c r="K7" i="24"/>
  <c r="E47" i="2"/>
  <c r="D14" i="24" s="1"/>
  <c r="J8" i="24"/>
  <c r="F46" i="2"/>
  <c r="E13" i="24" s="1"/>
  <c r="K5" i="24"/>
  <c r="C47" i="2"/>
  <c r="B14" i="24" s="1"/>
  <c r="O92" i="13"/>
  <c r="O91" i="6"/>
  <c r="P61" i="18"/>
  <c r="M61" i="18" s="1"/>
  <c r="N61" i="18" s="1"/>
  <c r="P45" i="18"/>
  <c r="M45" i="18" s="1"/>
  <c r="N45" i="18" s="1"/>
  <c r="P54" i="18"/>
  <c r="M54" i="18" s="1"/>
  <c r="N54" i="18" s="1"/>
  <c r="P38" i="18"/>
  <c r="M38" i="18" s="1"/>
  <c r="N38" i="18" s="1"/>
  <c r="P63" i="18"/>
  <c r="M63" i="18" s="1"/>
  <c r="N63" i="18" s="1"/>
  <c r="P47" i="18"/>
  <c r="M47" i="18" s="1"/>
  <c r="N47" i="18" s="1"/>
  <c r="P56" i="18"/>
  <c r="M56" i="18" s="1"/>
  <c r="N56" i="18" s="1"/>
  <c r="P40" i="18"/>
  <c r="M40" i="18" s="1"/>
  <c r="N40" i="18" s="1"/>
  <c r="P65" i="18"/>
  <c r="M65" i="18" s="1"/>
  <c r="N65" i="18" s="1"/>
  <c r="P49" i="18"/>
  <c r="M49" i="18" s="1"/>
  <c r="N49" i="18" s="1"/>
  <c r="P51" i="18"/>
  <c r="M51" i="18" s="1"/>
  <c r="N51" i="18" s="1"/>
  <c r="P60" i="18"/>
  <c r="M60" i="18" s="1"/>
  <c r="N60" i="18" s="1"/>
  <c r="P44" i="18"/>
  <c r="M44" i="18" s="1"/>
  <c r="N44" i="18" s="1"/>
  <c r="P53" i="18"/>
  <c r="M53" i="18" s="1"/>
  <c r="N53" i="18" s="1"/>
  <c r="P37" i="18"/>
  <c r="M37" i="18" s="1"/>
  <c r="N37" i="18" s="1"/>
  <c r="P62" i="18"/>
  <c r="M62" i="18" s="1"/>
  <c r="N62" i="18" s="1"/>
  <c r="P46" i="18"/>
  <c r="M46" i="18" s="1"/>
  <c r="N46" i="18" s="1"/>
  <c r="P55" i="18"/>
  <c r="M55" i="18" s="1"/>
  <c r="N55" i="18" s="1"/>
  <c r="P64" i="18"/>
  <c r="M64" i="18" s="1"/>
  <c r="N64" i="18" s="1"/>
  <c r="P48" i="18"/>
  <c r="M48" i="18" s="1"/>
  <c r="N48" i="18" s="1"/>
  <c r="P59" i="18"/>
  <c r="M59" i="18" s="1"/>
  <c r="N59" i="18" s="1"/>
  <c r="P43" i="18"/>
  <c r="M43" i="18" s="1"/>
  <c r="N43" i="18" s="1"/>
  <c r="P39" i="18"/>
  <c r="M39" i="18" s="1"/>
  <c r="N39" i="18" s="1"/>
  <c r="P28" i="18"/>
  <c r="M28" i="18" s="1"/>
  <c r="N28" i="18" s="1"/>
  <c r="P58" i="18"/>
  <c r="M58" i="18" s="1"/>
  <c r="N58" i="18" s="1"/>
  <c r="P52" i="18"/>
  <c r="M52" i="18" s="1"/>
  <c r="N52" i="18" s="1"/>
  <c r="P35" i="18"/>
  <c r="M35" i="18" s="1"/>
  <c r="N35" i="18" s="1"/>
  <c r="P21" i="18"/>
  <c r="M21" i="18" s="1"/>
  <c r="N21" i="18" s="1"/>
  <c r="P30" i="18"/>
  <c r="M30" i="18" s="1"/>
  <c r="N30" i="18" s="1"/>
  <c r="P57" i="18"/>
  <c r="M57" i="18" s="1"/>
  <c r="N57" i="18" s="1"/>
  <c r="P23" i="18"/>
  <c r="M23" i="18" s="1"/>
  <c r="N23" i="18" s="1"/>
  <c r="P32" i="18"/>
  <c r="M32" i="18" s="1"/>
  <c r="N32" i="18" s="1"/>
  <c r="P25" i="18"/>
  <c r="M25" i="18" s="1"/>
  <c r="N25" i="18" s="1"/>
  <c r="P50" i="18"/>
  <c r="M50" i="18" s="1"/>
  <c r="N50" i="18" s="1"/>
  <c r="P34" i="18"/>
  <c r="M34" i="18" s="1"/>
  <c r="N34" i="18" s="1"/>
  <c r="P27" i="18"/>
  <c r="M27" i="18" s="1"/>
  <c r="N27" i="18" s="1"/>
  <c r="P42" i="18"/>
  <c r="M42" i="18" s="1"/>
  <c r="N42" i="18" s="1"/>
  <c r="P29" i="18"/>
  <c r="M29" i="18" s="1"/>
  <c r="N29" i="18" s="1"/>
  <c r="P22" i="18"/>
  <c r="M22" i="18" s="1"/>
  <c r="N22" i="18" s="1"/>
  <c r="P41" i="18"/>
  <c r="M41" i="18" s="1"/>
  <c r="N41" i="18" s="1"/>
  <c r="P31" i="18"/>
  <c r="M31" i="18" s="1"/>
  <c r="N31" i="18" s="1"/>
  <c r="P24" i="18"/>
  <c r="M24" i="18" s="1"/>
  <c r="N24" i="18" s="1"/>
  <c r="P33" i="18"/>
  <c r="M33" i="18" s="1"/>
  <c r="N33" i="18" s="1"/>
  <c r="P36" i="18"/>
  <c r="M36" i="18" s="1"/>
  <c r="N36" i="18" s="1"/>
  <c r="P26" i="18"/>
  <c r="M26" i="18" s="1"/>
  <c r="N26" i="18" s="1"/>
  <c r="G84" i="2"/>
  <c r="G105" i="2" s="1"/>
  <c r="G85" i="2"/>
  <c r="G9" i="24"/>
  <c r="G43" i="2"/>
  <c r="F10" i="24" s="1"/>
  <c r="I9" i="24"/>
  <c r="G45" i="2"/>
  <c r="F12" i="24" s="1"/>
  <c r="D6" i="24"/>
  <c r="D40" i="2"/>
  <c r="C7" i="24" s="1"/>
  <c r="G7" i="24"/>
  <c r="E43" i="2"/>
  <c r="D10" i="24" s="1"/>
  <c r="O92" i="18"/>
  <c r="O101" i="18" s="1"/>
  <c r="O6" i="18" s="1"/>
  <c r="H84" i="2"/>
  <c r="H105" i="2" s="1"/>
  <c r="H85" i="2"/>
  <c r="H8" i="24"/>
  <c r="F44" i="2"/>
  <c r="E11" i="24" s="1"/>
  <c r="F5" i="24"/>
  <c r="C42" i="2"/>
  <c r="B9" i="24" s="1"/>
  <c r="P51" i="21"/>
  <c r="M51" i="21" s="1"/>
  <c r="N51" i="21" s="1"/>
  <c r="P35" i="21"/>
  <c r="M35" i="21" s="1"/>
  <c r="N35" i="21" s="1"/>
  <c r="P60" i="21"/>
  <c r="M60" i="21" s="1"/>
  <c r="N60" i="21" s="1"/>
  <c r="P44" i="21"/>
  <c r="M44" i="21" s="1"/>
  <c r="N44" i="21" s="1"/>
  <c r="P28" i="21"/>
  <c r="M28" i="21" s="1"/>
  <c r="N28" i="21" s="1"/>
  <c r="P53" i="21"/>
  <c r="M53" i="21" s="1"/>
  <c r="N53" i="21" s="1"/>
  <c r="P37" i="21"/>
  <c r="M37" i="21" s="1"/>
  <c r="N37" i="21" s="1"/>
  <c r="P21" i="21"/>
  <c r="M21" i="21" s="1"/>
  <c r="N21" i="21" s="1"/>
  <c r="P62" i="21"/>
  <c r="M62" i="21" s="1"/>
  <c r="N62" i="21" s="1"/>
  <c r="P46" i="21"/>
  <c r="M46" i="21" s="1"/>
  <c r="N46" i="21" s="1"/>
  <c r="P30" i="21"/>
  <c r="M30" i="21" s="1"/>
  <c r="N30" i="21" s="1"/>
  <c r="P55" i="21"/>
  <c r="M55" i="21" s="1"/>
  <c r="N55" i="21" s="1"/>
  <c r="P39" i="21"/>
  <c r="M39" i="21" s="1"/>
  <c r="N39" i="21" s="1"/>
  <c r="P23" i="21"/>
  <c r="M23" i="21" s="1"/>
  <c r="N23" i="21" s="1"/>
  <c r="P64" i="21"/>
  <c r="M64" i="21" s="1"/>
  <c r="N64" i="21" s="1"/>
  <c r="P57" i="21"/>
  <c r="M57" i="21" s="1"/>
  <c r="N57" i="21" s="1"/>
  <c r="P41" i="21"/>
  <c r="M41" i="21" s="1"/>
  <c r="N41" i="21" s="1"/>
  <c r="P25" i="21"/>
  <c r="M25" i="21" s="1"/>
  <c r="N25" i="21" s="1"/>
  <c r="P50" i="21"/>
  <c r="M50" i="21" s="1"/>
  <c r="N50" i="21" s="1"/>
  <c r="P34" i="21"/>
  <c r="M34" i="21" s="1"/>
  <c r="N34" i="21" s="1"/>
  <c r="P59" i="21"/>
  <c r="M59" i="21" s="1"/>
  <c r="N59" i="21" s="1"/>
  <c r="P52" i="21"/>
  <c r="M52" i="21" s="1"/>
  <c r="N52" i="21" s="1"/>
  <c r="P36" i="21"/>
  <c r="M36" i="21" s="1"/>
  <c r="N36" i="21" s="1"/>
  <c r="P54" i="21"/>
  <c r="M54" i="21" s="1"/>
  <c r="N54" i="21" s="1"/>
  <c r="P38" i="21"/>
  <c r="M38" i="21" s="1"/>
  <c r="N38" i="21" s="1"/>
  <c r="P48" i="21"/>
  <c r="M48" i="21" s="1"/>
  <c r="N48" i="21" s="1"/>
  <c r="P63" i="21"/>
  <c r="M63" i="21" s="1"/>
  <c r="N63" i="21" s="1"/>
  <c r="P43" i="21"/>
  <c r="M43" i="21" s="1"/>
  <c r="N43" i="21" s="1"/>
  <c r="P58" i="21"/>
  <c r="M58" i="21" s="1"/>
  <c r="N58" i="21" s="1"/>
  <c r="P47" i="21"/>
  <c r="M47" i="21" s="1"/>
  <c r="N47" i="21" s="1"/>
  <c r="P22" i="21"/>
  <c r="M22" i="21" s="1"/>
  <c r="N22" i="21" s="1"/>
  <c r="P26" i="21"/>
  <c r="M26" i="21" s="1"/>
  <c r="N26" i="21" s="1"/>
  <c r="P61" i="21"/>
  <c r="M61" i="21" s="1"/>
  <c r="N61" i="21" s="1"/>
  <c r="P29" i="21"/>
  <c r="M29" i="21" s="1"/>
  <c r="N29" i="21" s="1"/>
  <c r="P42" i="21"/>
  <c r="M42" i="21" s="1"/>
  <c r="N42" i="21" s="1"/>
  <c r="P56" i="21"/>
  <c r="M56" i="21" s="1"/>
  <c r="N56" i="21" s="1"/>
  <c r="P33" i="21"/>
  <c r="M33" i="21" s="1"/>
  <c r="N33" i="21" s="1"/>
  <c r="P45" i="21"/>
  <c r="M45" i="21" s="1"/>
  <c r="N45" i="21" s="1"/>
  <c r="P32" i="21"/>
  <c r="M32" i="21" s="1"/>
  <c r="N32" i="21" s="1"/>
  <c r="P65" i="21"/>
  <c r="M65" i="21" s="1"/>
  <c r="N65" i="21" s="1"/>
  <c r="P24" i="21"/>
  <c r="M24" i="21" s="1"/>
  <c r="N24" i="21" s="1"/>
  <c r="P27" i="21"/>
  <c r="M27" i="21" s="1"/>
  <c r="N27" i="21" s="1"/>
  <c r="P31" i="21"/>
  <c r="M31" i="21" s="1"/>
  <c r="N31" i="21" s="1"/>
  <c r="P40" i="21"/>
  <c r="M40" i="21" s="1"/>
  <c r="N40" i="21" s="1"/>
  <c r="P49" i="21"/>
  <c r="M49" i="21" s="1"/>
  <c r="N49" i="21" s="1"/>
  <c r="I84" i="2"/>
  <c r="I105" i="2" s="1"/>
  <c r="I85" i="2"/>
  <c r="O101" i="14"/>
  <c r="P11" i="22"/>
  <c r="P9" i="22"/>
  <c r="P13" i="22"/>
  <c r="P12" i="22"/>
  <c r="P8" i="22"/>
  <c r="P15" i="22"/>
  <c r="O15" i="22"/>
  <c r="O13" i="22"/>
  <c r="O12" i="22"/>
  <c r="P14" i="22"/>
  <c r="O14" i="22"/>
  <c r="O8" i="22"/>
  <c r="P10" i="22"/>
  <c r="O10" i="22"/>
  <c r="O11" i="22"/>
  <c r="O9" i="22"/>
  <c r="P6" i="22"/>
  <c r="K12" i="24"/>
  <c r="J47" i="2"/>
  <c r="I14" i="24" s="1"/>
  <c r="D5" i="24"/>
  <c r="C40" i="2"/>
  <c r="B7" i="24" s="1"/>
  <c r="I10" i="24"/>
  <c r="H45" i="2"/>
  <c r="G12" i="24" s="1"/>
  <c r="O92" i="21"/>
  <c r="P60" i="10"/>
  <c r="M60" i="10" s="1"/>
  <c r="N60" i="10" s="1"/>
  <c r="P44" i="10"/>
  <c r="M44" i="10" s="1"/>
  <c r="N44" i="10" s="1"/>
  <c r="P28" i="10"/>
  <c r="M28" i="10" s="1"/>
  <c r="N28" i="10" s="1"/>
  <c r="P53" i="10"/>
  <c r="M53" i="10" s="1"/>
  <c r="N53" i="10" s="1"/>
  <c r="P37" i="10"/>
  <c r="M37" i="10" s="1"/>
  <c r="N37" i="10" s="1"/>
  <c r="P21" i="10"/>
  <c r="M21" i="10" s="1"/>
  <c r="N21" i="10" s="1"/>
  <c r="P62" i="10"/>
  <c r="M62" i="10" s="1"/>
  <c r="N62" i="10" s="1"/>
  <c r="P46" i="10"/>
  <c r="M46" i="10" s="1"/>
  <c r="N46" i="10" s="1"/>
  <c r="P30" i="10"/>
  <c r="M30" i="10" s="1"/>
  <c r="N30" i="10" s="1"/>
  <c r="P55" i="10"/>
  <c r="M55" i="10" s="1"/>
  <c r="N55" i="10" s="1"/>
  <c r="P39" i="10"/>
  <c r="M39" i="10" s="1"/>
  <c r="N39" i="10" s="1"/>
  <c r="P23" i="10"/>
  <c r="M23" i="10" s="1"/>
  <c r="N23" i="10" s="1"/>
  <c r="P64" i="10"/>
  <c r="M64" i="10" s="1"/>
  <c r="N64" i="10" s="1"/>
  <c r="P48" i="10"/>
  <c r="M48" i="10" s="1"/>
  <c r="N48" i="10" s="1"/>
  <c r="P57" i="10"/>
  <c r="M57" i="10" s="1"/>
  <c r="N57" i="10" s="1"/>
  <c r="P41" i="10"/>
  <c r="M41" i="10" s="1"/>
  <c r="N41" i="10" s="1"/>
  <c r="P25" i="10"/>
  <c r="M25" i="10" s="1"/>
  <c r="N25" i="10" s="1"/>
  <c r="P50" i="10"/>
  <c r="M50" i="10" s="1"/>
  <c r="N50" i="10" s="1"/>
  <c r="P34" i="10"/>
  <c r="M34" i="10" s="1"/>
  <c r="N34" i="10" s="1"/>
  <c r="P59" i="10"/>
  <c r="M59" i="10" s="1"/>
  <c r="N59" i="10" s="1"/>
  <c r="P43" i="10"/>
  <c r="M43" i="10" s="1"/>
  <c r="N43" i="10" s="1"/>
  <c r="P27" i="10"/>
  <c r="M27" i="10" s="1"/>
  <c r="N27" i="10" s="1"/>
  <c r="P52" i="10"/>
  <c r="M52" i="10" s="1"/>
  <c r="N52" i="10" s="1"/>
  <c r="P36" i="10"/>
  <c r="M36" i="10" s="1"/>
  <c r="N36" i="10" s="1"/>
  <c r="P61" i="10"/>
  <c r="M61" i="10" s="1"/>
  <c r="N61" i="10" s="1"/>
  <c r="P45" i="10"/>
  <c r="M45" i="10" s="1"/>
  <c r="N45" i="10" s="1"/>
  <c r="P29" i="10"/>
  <c r="M29" i="10" s="1"/>
  <c r="N29" i="10" s="1"/>
  <c r="P54" i="10"/>
  <c r="M54" i="10" s="1"/>
  <c r="N54" i="10" s="1"/>
  <c r="P38" i="10"/>
  <c r="M38" i="10" s="1"/>
  <c r="N38" i="10" s="1"/>
  <c r="P22" i="10"/>
  <c r="M22" i="10" s="1"/>
  <c r="N22" i="10" s="1"/>
  <c r="P63" i="10"/>
  <c r="M63" i="10" s="1"/>
  <c r="N63" i="10" s="1"/>
  <c r="P47" i="10"/>
  <c r="M47" i="10" s="1"/>
  <c r="N47" i="10" s="1"/>
  <c r="P31" i="10"/>
  <c r="M31" i="10" s="1"/>
  <c r="N31" i="10" s="1"/>
  <c r="P56" i="10"/>
  <c r="M56" i="10" s="1"/>
  <c r="N56" i="10" s="1"/>
  <c r="P40" i="10"/>
  <c r="M40" i="10" s="1"/>
  <c r="N40" i="10" s="1"/>
  <c r="P58" i="10"/>
  <c r="M58" i="10" s="1"/>
  <c r="N58" i="10" s="1"/>
  <c r="P42" i="10"/>
  <c r="M42" i="10" s="1"/>
  <c r="N42" i="10" s="1"/>
  <c r="P26" i="10"/>
  <c r="M26" i="10" s="1"/>
  <c r="N26" i="10" s="1"/>
  <c r="P33" i="10"/>
  <c r="M33" i="10" s="1"/>
  <c r="N33" i="10" s="1"/>
  <c r="P32" i="10"/>
  <c r="M32" i="10" s="1"/>
  <c r="N32" i="10" s="1"/>
  <c r="P24" i="10"/>
  <c r="M24" i="10" s="1"/>
  <c r="N24" i="10" s="1"/>
  <c r="P51" i="10"/>
  <c r="M51" i="10" s="1"/>
  <c r="N51" i="10" s="1"/>
  <c r="P35" i="10"/>
  <c r="M35" i="10" s="1"/>
  <c r="N35" i="10" s="1"/>
  <c r="P65" i="10"/>
  <c r="M65" i="10" s="1"/>
  <c r="N65" i="10" s="1"/>
  <c r="P49" i="10"/>
  <c r="M49" i="10" s="1"/>
  <c r="N49" i="10" s="1"/>
  <c r="O91" i="13"/>
  <c r="J84" i="2"/>
  <c r="J105" i="2" s="1"/>
  <c r="J85" i="2"/>
  <c r="O7" i="22"/>
  <c r="M22" i="4" l="1"/>
  <c r="N22" i="4" s="1"/>
  <c r="M21" i="4"/>
  <c r="N21" i="4" s="1"/>
  <c r="O101" i="12"/>
  <c r="D15" i="24"/>
  <c r="V64" i="2"/>
  <c r="U63" i="2"/>
  <c r="M13" i="24"/>
  <c r="O101" i="15"/>
  <c r="M6" i="24"/>
  <c r="B15" i="24"/>
  <c r="P14" i="14"/>
  <c r="P9" i="14"/>
  <c r="P15" i="14"/>
  <c r="P10" i="14"/>
  <c r="P11" i="14"/>
  <c r="P13" i="14"/>
  <c r="O12" i="14"/>
  <c r="O11" i="14"/>
  <c r="O13" i="14"/>
  <c r="O15" i="14"/>
  <c r="O9" i="14"/>
  <c r="O10" i="14"/>
  <c r="O14" i="14"/>
  <c r="P8" i="14"/>
  <c r="P12" i="14"/>
  <c r="O8" i="14"/>
  <c r="O7" i="14"/>
  <c r="P7" i="14"/>
  <c r="P6" i="14"/>
  <c r="O101" i="20"/>
  <c r="O6" i="20" s="1"/>
  <c r="M5" i="24"/>
  <c r="C15" i="24"/>
  <c r="M12" i="24"/>
  <c r="O6" i="14"/>
  <c r="M8" i="24"/>
  <c r="M9" i="24"/>
  <c r="M11" i="24"/>
  <c r="P11" i="8"/>
  <c r="P9" i="8"/>
  <c r="P12" i="8"/>
  <c r="P13" i="8"/>
  <c r="P8" i="8"/>
  <c r="P10" i="8"/>
  <c r="P14" i="8"/>
  <c r="P15" i="8"/>
  <c r="O12" i="8"/>
  <c r="O14" i="8"/>
  <c r="O13" i="8"/>
  <c r="O15" i="8"/>
  <c r="O9" i="8"/>
  <c r="O11" i="8"/>
  <c r="O8" i="8"/>
  <c r="O10" i="8"/>
  <c r="P6" i="8"/>
  <c r="P7" i="8"/>
  <c r="O101" i="19"/>
  <c r="O6" i="19"/>
  <c r="P11" i="3"/>
  <c r="P12" i="3"/>
  <c r="P14" i="3"/>
  <c r="P9" i="3"/>
  <c r="P10" i="3"/>
  <c r="P15" i="3"/>
  <c r="P13" i="3"/>
  <c r="P8" i="3"/>
  <c r="O9" i="3"/>
  <c r="O12" i="3"/>
  <c r="O13" i="3"/>
  <c r="O14" i="3"/>
  <c r="O15" i="3"/>
  <c r="O10" i="3"/>
  <c r="O11" i="3"/>
  <c r="O8" i="3"/>
  <c r="P6" i="3"/>
  <c r="P10" i="18"/>
  <c r="P9" i="18"/>
  <c r="P8" i="18"/>
  <c r="P13" i="18"/>
  <c r="P11" i="18"/>
  <c r="P14" i="18"/>
  <c r="P15" i="18"/>
  <c r="P12" i="18"/>
  <c r="O9" i="18"/>
  <c r="O12" i="18"/>
  <c r="O15" i="18"/>
  <c r="O10" i="18"/>
  <c r="O14" i="18"/>
  <c r="O11" i="18"/>
  <c r="O8" i="18"/>
  <c r="O13" i="18"/>
  <c r="P6" i="18"/>
  <c r="O101" i="6"/>
  <c r="O6" i="6" s="1"/>
  <c r="M85" i="2"/>
  <c r="O101" i="5"/>
  <c r="O7" i="5" s="1"/>
  <c r="M10" i="24"/>
  <c r="P7" i="3"/>
  <c r="M105" i="2"/>
  <c r="O7" i="3"/>
  <c r="O101" i="13"/>
  <c r="O7" i="13" s="1"/>
  <c r="P7" i="18"/>
  <c r="M14" i="24"/>
  <c r="O91" i="11"/>
  <c r="O7" i="18"/>
  <c r="O101" i="21"/>
  <c r="M7" i="24"/>
  <c r="O101" i="17"/>
  <c r="O7" i="17" s="1"/>
  <c r="O101" i="10"/>
  <c r="O7" i="10" s="1"/>
  <c r="O91" i="4"/>
  <c r="K32" i="2" l="1"/>
  <c r="M24" i="24"/>
  <c r="P13" i="15"/>
  <c r="P6" i="15"/>
  <c r="P11" i="15"/>
  <c r="O13" i="15"/>
  <c r="O7" i="15"/>
  <c r="O10" i="15"/>
  <c r="O12" i="15"/>
  <c r="O9" i="15"/>
  <c r="O14" i="15"/>
  <c r="O8" i="15"/>
  <c r="O6" i="15"/>
  <c r="O11" i="15"/>
  <c r="O15" i="15"/>
  <c r="P14" i="15"/>
  <c r="P7" i="15"/>
  <c r="P10" i="15"/>
  <c r="P8" i="15"/>
  <c r="P9" i="15"/>
  <c r="P12" i="15"/>
  <c r="P15" i="15"/>
  <c r="M20" i="24"/>
  <c r="M19" i="24"/>
  <c r="O7" i="12"/>
  <c r="O14" i="12"/>
  <c r="P6" i="12"/>
  <c r="P7" i="12"/>
  <c r="P12" i="12"/>
  <c r="P13" i="12"/>
  <c r="P9" i="12"/>
  <c r="P15" i="12"/>
  <c r="O11" i="12"/>
  <c r="P8" i="12"/>
  <c r="P11" i="12"/>
  <c r="O6" i="12"/>
  <c r="P10" i="12"/>
  <c r="O8" i="12"/>
  <c r="O15" i="12"/>
  <c r="O10" i="12"/>
  <c r="O9" i="12"/>
  <c r="O13" i="12"/>
  <c r="O12" i="12"/>
  <c r="M18" i="24"/>
  <c r="P8" i="5"/>
  <c r="P13" i="5"/>
  <c r="P10" i="5"/>
  <c r="P12" i="5"/>
  <c r="P14" i="5"/>
  <c r="P9" i="5"/>
  <c r="P11" i="5"/>
  <c r="P15" i="5"/>
  <c r="O12" i="5"/>
  <c r="O8" i="5"/>
  <c r="O9" i="5"/>
  <c r="O10" i="5"/>
  <c r="O11" i="5"/>
  <c r="O13" i="5"/>
  <c r="O14" i="5"/>
  <c r="O15" i="5"/>
  <c r="P6" i="5"/>
  <c r="O6" i="5"/>
  <c r="P7" i="5"/>
  <c r="M21" i="24"/>
  <c r="O85" i="2"/>
  <c r="M84" i="2"/>
  <c r="M63" i="2" s="1"/>
  <c r="P7" i="2" s="1"/>
  <c r="O101" i="4"/>
  <c r="O6" i="4" s="1"/>
  <c r="M22" i="24"/>
  <c r="M23" i="24"/>
  <c r="P11" i="6"/>
  <c r="P14" i="6"/>
  <c r="P10" i="6"/>
  <c r="P8" i="6"/>
  <c r="P15" i="6"/>
  <c r="P12" i="6"/>
  <c r="P13" i="6"/>
  <c r="P9" i="6"/>
  <c r="O8" i="6"/>
  <c r="O12" i="6"/>
  <c r="O15" i="6"/>
  <c r="O11" i="6"/>
  <c r="O14" i="6"/>
  <c r="O13" i="6"/>
  <c r="O10" i="6"/>
  <c r="O9" i="6"/>
  <c r="P7" i="6"/>
  <c r="P6" i="6"/>
  <c r="O7" i="6"/>
  <c r="P10" i="10"/>
  <c r="P15" i="10"/>
  <c r="P11" i="10"/>
  <c r="P14" i="10"/>
  <c r="P9" i="10"/>
  <c r="P13" i="10"/>
  <c r="P8" i="10"/>
  <c r="P12" i="10"/>
  <c r="O10" i="10"/>
  <c r="O9" i="10"/>
  <c r="O8" i="10"/>
  <c r="O12" i="10"/>
  <c r="O13" i="10"/>
  <c r="O11" i="10"/>
  <c r="O14" i="10"/>
  <c r="O15" i="10"/>
  <c r="O6" i="10"/>
  <c r="P7" i="10"/>
  <c r="P6" i="10"/>
  <c r="N5" i="24" a="1"/>
  <c r="M16" i="24"/>
  <c r="M25" i="24"/>
  <c r="P8" i="21"/>
  <c r="P12" i="21"/>
  <c r="P10" i="21"/>
  <c r="P11" i="21"/>
  <c r="P13" i="21"/>
  <c r="P15" i="21"/>
  <c r="P14" i="21"/>
  <c r="P9" i="21"/>
  <c r="O8" i="21"/>
  <c r="O11" i="21"/>
  <c r="O15" i="21"/>
  <c r="O12" i="21"/>
  <c r="O9" i="21"/>
  <c r="O13" i="21"/>
  <c r="O10" i="21"/>
  <c r="O14" i="21"/>
  <c r="O6" i="21"/>
  <c r="P7" i="21"/>
  <c r="P6" i="21"/>
  <c r="P9" i="20"/>
  <c r="P11" i="20"/>
  <c r="P13" i="20"/>
  <c r="P8" i="20"/>
  <c r="P12" i="20"/>
  <c r="P15" i="20"/>
  <c r="P14" i="20"/>
  <c r="P10" i="20"/>
  <c r="O9" i="20"/>
  <c r="O10" i="20"/>
  <c r="O15" i="20"/>
  <c r="O14" i="20"/>
  <c r="O8" i="20"/>
  <c r="O11" i="20"/>
  <c r="O13" i="20"/>
  <c r="O12" i="20"/>
  <c r="P7" i="20"/>
  <c r="O7" i="20"/>
  <c r="P6" i="20"/>
  <c r="P13" i="13"/>
  <c r="P9" i="13"/>
  <c r="P14" i="13"/>
  <c r="P10" i="13"/>
  <c r="P12" i="13"/>
  <c r="P11" i="13"/>
  <c r="P15" i="13"/>
  <c r="P8" i="13"/>
  <c r="O8" i="13"/>
  <c r="O12" i="13"/>
  <c r="O10" i="13"/>
  <c r="O15" i="13"/>
  <c r="O9" i="13"/>
  <c r="O13" i="13"/>
  <c r="O14" i="13"/>
  <c r="O11" i="13"/>
  <c r="P6" i="13"/>
  <c r="P7" i="13"/>
  <c r="O101" i="11"/>
  <c r="O6" i="11" s="1"/>
  <c r="O6" i="13"/>
  <c r="P9" i="19"/>
  <c r="P13" i="19"/>
  <c r="P14" i="19"/>
  <c r="P15" i="19"/>
  <c r="P12" i="19"/>
  <c r="P8" i="19"/>
  <c r="P10" i="19"/>
  <c r="O11" i="19"/>
  <c r="O14" i="19"/>
  <c r="P11" i="19"/>
  <c r="O13" i="19"/>
  <c r="O8" i="19"/>
  <c r="O10" i="19"/>
  <c r="O12" i="19"/>
  <c r="O9" i="19"/>
  <c r="O15" i="19"/>
  <c r="P7" i="19"/>
  <c r="P6" i="19"/>
  <c r="O7" i="19"/>
  <c r="B28" i="24" a="1"/>
  <c r="P12" i="17"/>
  <c r="P13" i="17"/>
  <c r="P15" i="17"/>
  <c r="P8" i="17"/>
  <c r="P11" i="17"/>
  <c r="O13" i="17"/>
  <c r="O10" i="17"/>
  <c r="O15" i="17"/>
  <c r="P14" i="17"/>
  <c r="O12" i="17"/>
  <c r="P9" i="17"/>
  <c r="O11" i="17"/>
  <c r="O8" i="17"/>
  <c r="P10" i="17"/>
  <c r="O9" i="17"/>
  <c r="O14" i="17"/>
  <c r="P6" i="17"/>
  <c r="O6" i="17"/>
  <c r="P7" i="17"/>
  <c r="O7" i="21"/>
  <c r="M17" i="24"/>
  <c r="P11" i="4" l="1"/>
  <c r="P9" i="4"/>
  <c r="P15" i="4"/>
  <c r="P12" i="4"/>
  <c r="P13" i="4"/>
  <c r="P14" i="4"/>
  <c r="P8" i="4"/>
  <c r="P10" i="4"/>
  <c r="O9" i="4"/>
  <c r="O8" i="4"/>
  <c r="O13" i="4"/>
  <c r="O14" i="4"/>
  <c r="O15" i="4"/>
  <c r="O12" i="4"/>
  <c r="O10" i="4"/>
  <c r="O11" i="4"/>
  <c r="P7" i="4"/>
  <c r="P6" i="4"/>
  <c r="O7" i="4"/>
  <c r="K37" i="24"/>
  <c r="E36" i="24"/>
  <c r="I34" i="24"/>
  <c r="C33" i="24"/>
  <c r="G31" i="24"/>
  <c r="K29" i="24"/>
  <c r="E28" i="24"/>
  <c r="J37" i="24"/>
  <c r="D36" i="24"/>
  <c r="H34" i="24"/>
  <c r="B33" i="24"/>
  <c r="F31" i="24"/>
  <c r="J29" i="24"/>
  <c r="D28" i="24"/>
  <c r="I37" i="24"/>
  <c r="C36" i="24"/>
  <c r="G34" i="24"/>
  <c r="K32" i="24"/>
  <c r="E31" i="24"/>
  <c r="I29" i="24"/>
  <c r="C28" i="24"/>
  <c r="H37" i="24"/>
  <c r="B36" i="24"/>
  <c r="F34" i="24"/>
  <c r="J32" i="24"/>
  <c r="D31" i="24"/>
  <c r="H29" i="24"/>
  <c r="G37" i="24"/>
  <c r="K35" i="24"/>
  <c r="E34" i="24"/>
  <c r="I32" i="24"/>
  <c r="C31" i="24"/>
  <c r="G29" i="24"/>
  <c r="B28" i="24"/>
  <c r="F37" i="24"/>
  <c r="J35" i="24"/>
  <c r="D34" i="24"/>
  <c r="H32" i="24"/>
  <c r="B31" i="24"/>
  <c r="F29" i="24"/>
  <c r="E37" i="24"/>
  <c r="I35" i="24"/>
  <c r="C34" i="24"/>
  <c r="G32" i="24"/>
  <c r="K30" i="24"/>
  <c r="E29" i="24"/>
  <c r="D37" i="24"/>
  <c r="H35" i="24"/>
  <c r="B34" i="24"/>
  <c r="F32" i="24"/>
  <c r="J30" i="24"/>
  <c r="D29" i="24"/>
  <c r="C37" i="24"/>
  <c r="G35" i="24"/>
  <c r="K33" i="24"/>
  <c r="E32" i="24"/>
  <c r="I30" i="24"/>
  <c r="C29" i="24"/>
  <c r="B37" i="24"/>
  <c r="F35" i="24"/>
  <c r="J33" i="24"/>
  <c r="D32" i="24"/>
  <c r="H30" i="24"/>
  <c r="B29" i="24"/>
  <c r="K36" i="24"/>
  <c r="E35" i="24"/>
  <c r="I33" i="24"/>
  <c r="C32" i="24"/>
  <c r="G30" i="24"/>
  <c r="K28" i="24"/>
  <c r="J36" i="24"/>
  <c r="D35" i="24"/>
  <c r="H33" i="24"/>
  <c r="B32" i="24"/>
  <c r="F30" i="24"/>
  <c r="J28" i="24"/>
  <c r="I36" i="24"/>
  <c r="C35" i="24"/>
  <c r="G33" i="24"/>
  <c r="K31" i="24"/>
  <c r="E30" i="24"/>
  <c r="I28" i="24"/>
  <c r="H36" i="24"/>
  <c r="B35" i="24"/>
  <c r="F33" i="24"/>
  <c r="J31" i="24"/>
  <c r="D30" i="24"/>
  <c r="H28" i="24"/>
  <c r="H31" i="24"/>
  <c r="C30" i="24"/>
  <c r="B30" i="24"/>
  <c r="G28" i="24"/>
  <c r="F28" i="24"/>
  <c r="G36" i="24"/>
  <c r="F36" i="24"/>
  <c r="K34" i="24"/>
  <c r="J34" i="24"/>
  <c r="E33" i="24"/>
  <c r="D33" i="24"/>
  <c r="I31" i="24"/>
  <c r="M26" i="24"/>
  <c r="M28" i="24" s="1"/>
  <c r="N14" i="24"/>
  <c r="N13" i="24"/>
  <c r="N11" i="24"/>
  <c r="N10" i="24"/>
  <c r="N9" i="24"/>
  <c r="N8" i="24"/>
  <c r="N7" i="24"/>
  <c r="N5" i="24"/>
  <c r="N12" i="24"/>
  <c r="N6" i="24"/>
  <c r="P13" i="11"/>
  <c r="P15" i="11"/>
  <c r="P9" i="11"/>
  <c r="P11" i="11"/>
  <c r="P12" i="11"/>
  <c r="P14" i="11"/>
  <c r="P10" i="11"/>
  <c r="P8" i="11"/>
  <c r="O11" i="11"/>
  <c r="O8" i="11"/>
  <c r="O10" i="11"/>
  <c r="O13" i="11"/>
  <c r="O9" i="11"/>
  <c r="O12" i="11"/>
  <c r="O14" i="11"/>
  <c r="O15" i="11"/>
  <c r="P7" i="11"/>
  <c r="O7" i="11"/>
  <c r="P6" i="11"/>
  <c r="N24" i="24" l="1"/>
  <c r="M36" i="24"/>
  <c r="M31" i="24"/>
  <c r="M32" i="24"/>
  <c r="M29" i="24"/>
  <c r="M33" i="24"/>
  <c r="M30" i="24"/>
  <c r="N17" i="24"/>
  <c r="N23" i="24"/>
  <c r="N25" i="24"/>
  <c r="N16" i="24"/>
  <c r="N18" i="24"/>
  <c r="N19" i="24"/>
  <c r="N20" i="24"/>
  <c r="N21" i="24"/>
  <c r="M34" i="24"/>
  <c r="M37" i="24"/>
  <c r="N22" i="24"/>
  <c r="M35" i="24"/>
  <c r="N26" i="24" l="1"/>
  <c r="N36" i="24" s="1"/>
  <c r="N48" i="24" s="1"/>
  <c r="O5" i="24" a="1"/>
  <c r="N31" i="24"/>
  <c r="N43" i="24" s="1"/>
  <c r="N35" i="24"/>
  <c r="N47" i="24" s="1"/>
  <c r="N33" i="24"/>
  <c r="N45" i="24" s="1"/>
  <c r="N30" i="24"/>
  <c r="N42" i="24" s="1"/>
  <c r="N34" i="24"/>
  <c r="N46" i="24" s="1"/>
  <c r="N37" i="24"/>
  <c r="N49" i="24" s="1"/>
  <c r="N29" i="24" l="1"/>
  <c r="N41" i="24" s="1"/>
  <c r="N28" i="24"/>
  <c r="O5" i="24"/>
  <c r="O14" i="24"/>
  <c r="O13" i="24"/>
  <c r="O12" i="24"/>
  <c r="O10" i="24"/>
  <c r="O9" i="24"/>
  <c r="O8" i="24"/>
  <c r="O7" i="24"/>
  <c r="O11" i="24"/>
  <c r="O6" i="24"/>
  <c r="N40" i="24"/>
  <c r="N32" i="24"/>
  <c r="N44" i="24" s="1"/>
  <c r="N38" i="24" l="1"/>
  <c r="O17" i="24"/>
  <c r="N39" i="24"/>
  <c r="O18" i="24"/>
  <c r="O20" i="24"/>
  <c r="O22" i="24"/>
  <c r="O24" i="24"/>
  <c r="O21" i="24"/>
  <c r="O25" i="24"/>
  <c r="O19" i="24"/>
  <c r="O23" i="24"/>
  <c r="O16" i="24"/>
  <c r="P5" i="24" l="1" a="1"/>
  <c r="O26" i="24"/>
  <c r="O29" i="24" s="1"/>
  <c r="O41" i="24" s="1"/>
  <c r="O30" i="24" l="1"/>
  <c r="O42" i="24" s="1"/>
  <c r="O37" i="24"/>
  <c r="O49" i="24" s="1"/>
  <c r="O36" i="24"/>
  <c r="O48" i="24" s="1"/>
  <c r="O32" i="24"/>
  <c r="O44" i="24" s="1"/>
  <c r="O28" i="24"/>
  <c r="O34" i="24"/>
  <c r="O46" i="24" s="1"/>
  <c r="O35" i="24"/>
  <c r="O47" i="24" s="1"/>
  <c r="P9" i="24"/>
  <c r="P8" i="24"/>
  <c r="P7" i="24"/>
  <c r="P5" i="24"/>
  <c r="P14" i="24"/>
  <c r="P13" i="24"/>
  <c r="P12" i="24"/>
  <c r="P11" i="24"/>
  <c r="P10" i="24"/>
  <c r="P6" i="24"/>
  <c r="O33" i="24"/>
  <c r="O45" i="24" s="1"/>
  <c r="O31" i="24"/>
  <c r="O43" i="24" s="1"/>
  <c r="P24" i="24" l="1"/>
  <c r="P16" i="24"/>
  <c r="P22" i="24"/>
  <c r="P18" i="24"/>
  <c r="P21" i="24"/>
  <c r="P25" i="24"/>
  <c r="O40" i="24"/>
  <c r="O39" i="24" s="1"/>
  <c r="O38" i="24"/>
  <c r="P23" i="24"/>
  <c r="P19" i="24"/>
  <c r="P17" i="24"/>
  <c r="P20" i="24"/>
  <c r="P26" i="24" l="1"/>
  <c r="P36" i="24" s="1"/>
  <c r="P48" i="24" s="1"/>
  <c r="Q5" i="24" a="1"/>
  <c r="P30" i="24" l="1"/>
  <c r="P42" i="24" s="1"/>
  <c r="P34" i="24"/>
  <c r="P46" i="24" s="1"/>
  <c r="P35" i="24"/>
  <c r="P47" i="24" s="1"/>
  <c r="Q14" i="24"/>
  <c r="Q13" i="24"/>
  <c r="Q12" i="24"/>
  <c r="Q10" i="24"/>
  <c r="Q9" i="24"/>
  <c r="Q8" i="24"/>
  <c r="Q7" i="24"/>
  <c r="Q6" i="24"/>
  <c r="Q5" i="24"/>
  <c r="Q11" i="24"/>
  <c r="P28" i="24"/>
  <c r="P33" i="24"/>
  <c r="P45" i="24" s="1"/>
  <c r="P31" i="24"/>
  <c r="P43" i="24" s="1"/>
  <c r="P29" i="24"/>
  <c r="P41" i="24" s="1"/>
  <c r="P37" i="24"/>
  <c r="P49" i="24" s="1"/>
  <c r="P32" i="24"/>
  <c r="P44" i="24" s="1"/>
  <c r="Q19" i="24" l="1"/>
  <c r="Q17" i="24"/>
  <c r="Q22" i="24"/>
  <c r="Q21" i="24"/>
  <c r="P40" i="24"/>
  <c r="P39" i="24" s="1"/>
  <c r="P38" i="24"/>
  <c r="Q23" i="24"/>
  <c r="Q24" i="24"/>
  <c r="Q16" i="24"/>
  <c r="Q20" i="24"/>
  <c r="Q25" i="24"/>
  <c r="Q18" i="24"/>
  <c r="Q26" i="24" l="1"/>
  <c r="Q31" i="24" s="1"/>
  <c r="Q43" i="24" s="1"/>
  <c r="R5" i="24" a="1"/>
  <c r="Q35" i="24"/>
  <c r="Q47" i="24" s="1"/>
  <c r="Q29" i="24"/>
  <c r="Q41" i="24" s="1"/>
  <c r="Q34" i="24" l="1"/>
  <c r="Q46" i="24" s="1"/>
  <c r="Q32" i="24"/>
  <c r="Q44" i="24" s="1"/>
  <c r="Q33" i="24"/>
  <c r="Q45" i="24" s="1"/>
  <c r="Q28" i="24"/>
  <c r="Q40" i="24" s="1"/>
  <c r="R14" i="24"/>
  <c r="R13" i="24"/>
  <c r="R12" i="24"/>
  <c r="R11" i="24"/>
  <c r="R9" i="24"/>
  <c r="R8" i="24"/>
  <c r="R7" i="24"/>
  <c r="R6" i="24"/>
  <c r="R10" i="24"/>
  <c r="R5" i="24"/>
  <c r="Q36" i="24"/>
  <c r="Q48" i="24" s="1"/>
  <c r="Q30" i="24"/>
  <c r="Q42" i="24" s="1"/>
  <c r="Q37" i="24"/>
  <c r="Q49" i="24" s="1"/>
  <c r="R21" i="24" l="1"/>
  <c r="R18" i="24"/>
  <c r="R17" i="24"/>
  <c r="R25" i="24"/>
  <c r="R16" i="24"/>
  <c r="R19" i="24"/>
  <c r="R23" i="24"/>
  <c r="Q38" i="24"/>
  <c r="R20" i="24"/>
  <c r="R22" i="24"/>
  <c r="R24" i="24"/>
  <c r="Q39" i="24"/>
  <c r="S5" i="24" l="1" a="1"/>
  <c r="R26" i="24"/>
  <c r="R33" i="24" s="1"/>
  <c r="R45" i="24" s="1"/>
  <c r="R29" i="24" l="1"/>
  <c r="R41" i="24" s="1"/>
  <c r="R28" i="24"/>
  <c r="R40" i="24" s="1"/>
  <c r="R37" i="24"/>
  <c r="R49" i="24" s="1"/>
  <c r="R31" i="24"/>
  <c r="R43" i="24" s="1"/>
  <c r="R36" i="24"/>
  <c r="R48" i="24" s="1"/>
  <c r="S8" i="24"/>
  <c r="S7" i="24"/>
  <c r="S6" i="24"/>
  <c r="S5" i="24"/>
  <c r="S14" i="24"/>
  <c r="S13" i="24"/>
  <c r="S12" i="24"/>
  <c r="S11" i="24"/>
  <c r="S10" i="24"/>
  <c r="S9" i="24"/>
  <c r="R32" i="24"/>
  <c r="R44" i="24" s="1"/>
  <c r="R30" i="24"/>
  <c r="R42" i="24" s="1"/>
  <c r="R35" i="24"/>
  <c r="R47" i="24" s="1"/>
  <c r="R34" i="24"/>
  <c r="R46" i="24" s="1"/>
  <c r="S20" i="24" l="1"/>
  <c r="S22" i="24"/>
  <c r="S17" i="24"/>
  <c r="S19" i="24"/>
  <c r="S23" i="24"/>
  <c r="S25" i="24"/>
  <c r="S21" i="24"/>
  <c r="S16" i="24"/>
  <c r="R38" i="24"/>
  <c r="S24" i="24"/>
  <c r="S18" i="24"/>
  <c r="R39" i="24"/>
  <c r="S26" i="24" l="1"/>
  <c r="S32" i="24" s="1"/>
  <c r="S44" i="24" s="1"/>
  <c r="T5" i="24" a="1"/>
  <c r="S34" i="24" l="1"/>
  <c r="S46" i="24" s="1"/>
  <c r="S33" i="24"/>
  <c r="S45" i="24" s="1"/>
  <c r="S28" i="24"/>
  <c r="S40" i="24" s="1"/>
  <c r="S35" i="24"/>
  <c r="S47" i="24" s="1"/>
  <c r="T13" i="24"/>
  <c r="T12" i="24"/>
  <c r="T11" i="24"/>
  <c r="T10" i="24"/>
  <c r="T9" i="24"/>
  <c r="T8" i="24"/>
  <c r="T7" i="24"/>
  <c r="T6" i="24"/>
  <c r="T14" i="24"/>
  <c r="T5" i="24"/>
  <c r="S29" i="24"/>
  <c r="S41" i="24" s="1"/>
  <c r="S37" i="24"/>
  <c r="S49" i="24" s="1"/>
  <c r="S31" i="24"/>
  <c r="S43" i="24" s="1"/>
  <c r="S36" i="24"/>
  <c r="S48" i="24" s="1"/>
  <c r="S30" i="24"/>
  <c r="S42" i="24" s="1"/>
  <c r="T25" i="24" l="1"/>
  <c r="S38" i="24"/>
  <c r="T21" i="24"/>
  <c r="T18" i="24"/>
  <c r="T22" i="24"/>
  <c r="T16" i="24"/>
  <c r="T20" i="24"/>
  <c r="T23" i="24"/>
  <c r="S39" i="24"/>
  <c r="T19" i="24"/>
  <c r="T24" i="24"/>
  <c r="T17" i="24"/>
  <c r="T26" i="24" l="1"/>
  <c r="T37" i="24" s="1"/>
  <c r="T49" i="24" s="1"/>
  <c r="U5" i="24" a="1"/>
  <c r="T33" i="24" l="1"/>
  <c r="T45" i="24" s="1"/>
  <c r="T30" i="24"/>
  <c r="T42" i="24" s="1"/>
  <c r="U14" i="24"/>
  <c r="U13" i="24"/>
  <c r="U12" i="24"/>
  <c r="U11" i="24"/>
  <c r="U10" i="24"/>
  <c r="U8" i="24"/>
  <c r="U7" i="24"/>
  <c r="U6" i="24"/>
  <c r="U9" i="24"/>
  <c r="U5" i="24"/>
  <c r="T28" i="24"/>
  <c r="T32" i="24"/>
  <c r="T44" i="24" s="1"/>
  <c r="T36" i="24"/>
  <c r="T48" i="24" s="1"/>
  <c r="T34" i="24"/>
  <c r="T46" i="24" s="1"/>
  <c r="T35" i="24"/>
  <c r="T47" i="24" s="1"/>
  <c r="T29" i="24"/>
  <c r="T41" i="24" s="1"/>
  <c r="T31" i="24"/>
  <c r="T43" i="24" s="1"/>
  <c r="U16" i="24" l="1"/>
  <c r="U17" i="24"/>
  <c r="U20" i="24"/>
  <c r="U23" i="24"/>
  <c r="U19" i="24"/>
  <c r="U24" i="24"/>
  <c r="T40" i="24"/>
  <c r="T39" i="24" s="1"/>
  <c r="T38" i="24"/>
  <c r="U21" i="24"/>
  <c r="U25" i="24"/>
  <c r="U18" i="24"/>
  <c r="U22" i="24"/>
  <c r="V5" i="24" l="1" a="1"/>
  <c r="U26" i="24"/>
  <c r="U28" i="24" s="1"/>
  <c r="U37" i="24" l="1"/>
  <c r="U49" i="24" s="1"/>
  <c r="U40" i="24"/>
  <c r="U32" i="24"/>
  <c r="U44" i="24" s="1"/>
  <c r="U31" i="24"/>
  <c r="U43" i="24" s="1"/>
  <c r="U34" i="24"/>
  <c r="U46" i="24" s="1"/>
  <c r="U29" i="24"/>
  <c r="U41" i="24" s="1"/>
  <c r="U35" i="24"/>
  <c r="U47" i="24" s="1"/>
  <c r="V7" i="24"/>
  <c r="V6" i="24"/>
  <c r="V5" i="24"/>
  <c r="V13" i="24"/>
  <c r="V12" i="24"/>
  <c r="V11" i="24"/>
  <c r="V10" i="24"/>
  <c r="V14" i="24"/>
  <c r="V9" i="24"/>
  <c r="V8" i="24"/>
  <c r="U36" i="24"/>
  <c r="U48" i="24" s="1"/>
  <c r="U30" i="24"/>
  <c r="U42" i="24" s="1"/>
  <c r="U33" i="24"/>
  <c r="U45" i="24" s="1"/>
  <c r="V25" i="24" l="1"/>
  <c r="V16" i="24"/>
  <c r="V21" i="24"/>
  <c r="V23" i="24"/>
  <c r="V22" i="24"/>
  <c r="V17" i="24"/>
  <c r="V20" i="24"/>
  <c r="V18" i="24"/>
  <c r="U38" i="24"/>
  <c r="V24" i="24"/>
  <c r="V19" i="24"/>
  <c r="U39" i="24"/>
  <c r="V26" i="24" l="1"/>
  <c r="V30" i="24" s="1"/>
  <c r="V42" i="24" s="1"/>
  <c r="W5" i="24" a="1"/>
  <c r="V36" i="24" l="1"/>
  <c r="V48" i="24" s="1"/>
  <c r="W12" i="24"/>
  <c r="W11" i="24"/>
  <c r="W10" i="24"/>
  <c r="W9" i="24"/>
  <c r="W8" i="24"/>
  <c r="W7" i="24"/>
  <c r="W6" i="24"/>
  <c r="W5" i="24"/>
  <c r="W14" i="24"/>
  <c r="W13" i="24"/>
  <c r="V34" i="24"/>
  <c r="V46" i="24" s="1"/>
  <c r="V32" i="24"/>
  <c r="V44" i="24" s="1"/>
  <c r="V35" i="24"/>
  <c r="V47" i="24" s="1"/>
  <c r="V29" i="24"/>
  <c r="V41" i="24" s="1"/>
  <c r="V37" i="24"/>
  <c r="V49" i="24" s="1"/>
  <c r="V33" i="24"/>
  <c r="V45" i="24" s="1"/>
  <c r="V28" i="24"/>
  <c r="V31" i="24"/>
  <c r="V43" i="24" s="1"/>
  <c r="W25" i="24" l="1"/>
  <c r="W19" i="24"/>
  <c r="W24" i="24"/>
  <c r="W16" i="24"/>
  <c r="W17" i="24"/>
  <c r="W20" i="24"/>
  <c r="W21" i="24"/>
  <c r="W22" i="24"/>
  <c r="W18" i="24"/>
  <c r="V40" i="24"/>
  <c r="V39" i="24" s="1"/>
  <c r="V38" i="24"/>
  <c r="W23" i="24"/>
  <c r="X5" i="24" l="1" a="1"/>
  <c r="W26" i="24"/>
  <c r="W35" i="24" s="1"/>
  <c r="W47" i="24" s="1"/>
  <c r="W29" i="24" l="1"/>
  <c r="W41" i="24" s="1"/>
  <c r="W33" i="24"/>
  <c r="W45" i="24" s="1"/>
  <c r="W32" i="24"/>
  <c r="W44" i="24" s="1"/>
  <c r="W30" i="24"/>
  <c r="W42" i="24" s="1"/>
  <c r="W37" i="24"/>
  <c r="W49" i="24" s="1"/>
  <c r="W31" i="24"/>
  <c r="W43" i="24" s="1"/>
  <c r="W36" i="24"/>
  <c r="W48" i="24" s="1"/>
  <c r="X14" i="24"/>
  <c r="X13" i="24"/>
  <c r="X12" i="24"/>
  <c r="X11" i="24"/>
  <c r="X10" i="24"/>
  <c r="X9" i="24"/>
  <c r="X7" i="24"/>
  <c r="X6" i="24"/>
  <c r="X5" i="24"/>
  <c r="X8" i="24"/>
  <c r="W28" i="24"/>
  <c r="W34" i="24"/>
  <c r="W46" i="24" s="1"/>
  <c r="X16" i="24" l="1"/>
  <c r="X18" i="24"/>
  <c r="W40" i="24"/>
  <c r="W39" i="24" s="1"/>
  <c r="W38" i="24"/>
  <c r="X22" i="24"/>
  <c r="X25" i="24"/>
  <c r="X21" i="24"/>
  <c r="X17" i="24"/>
  <c r="X23" i="24"/>
  <c r="X19" i="24"/>
  <c r="X20" i="24"/>
  <c r="X24" i="24"/>
  <c r="X26" i="24" l="1"/>
  <c r="X28" i="24" s="1"/>
  <c r="X40" i="24" s="1"/>
  <c r="Y5" i="24" a="1"/>
  <c r="X29" i="24" l="1"/>
  <c r="X41" i="24" s="1"/>
  <c r="X36" i="24"/>
  <c r="X48" i="24" s="1"/>
  <c r="X35" i="24"/>
  <c r="X47" i="24" s="1"/>
  <c r="X33" i="24"/>
  <c r="X45" i="24" s="1"/>
  <c r="X34" i="24"/>
  <c r="X46" i="24" s="1"/>
  <c r="X37" i="24"/>
  <c r="X49" i="24" s="1"/>
  <c r="X30" i="24"/>
  <c r="X42" i="24" s="1"/>
  <c r="X32" i="24"/>
  <c r="X44" i="24" s="1"/>
  <c r="X31" i="24"/>
  <c r="X43" i="24" s="1"/>
  <c r="Y6" i="24"/>
  <c r="Y5" i="24"/>
  <c r="Y14" i="24"/>
  <c r="Y12" i="24"/>
  <c r="Y11" i="24"/>
  <c r="Y10" i="24"/>
  <c r="Y9" i="24"/>
  <c r="Y13" i="24"/>
  <c r="Y8" i="24"/>
  <c r="Y7" i="24"/>
  <c r="X38" i="24" l="1"/>
  <c r="X39" i="24"/>
  <c r="Y19" i="24"/>
  <c r="Y24" i="24"/>
  <c r="Y23" i="24"/>
  <c r="Y25" i="24"/>
  <c r="Y21" i="24"/>
  <c r="Y16" i="24"/>
  <c r="Y18" i="24"/>
  <c r="Y20" i="24"/>
  <c r="Y22" i="24"/>
  <c r="Y17" i="24"/>
  <c r="Z5" i="24" l="1" a="1"/>
  <c r="Y26" i="24"/>
  <c r="Y31" i="24" s="1"/>
  <c r="Y43" i="24" s="1"/>
  <c r="Y37" i="24" l="1"/>
  <c r="Y49" i="24" s="1"/>
  <c r="Y36" i="24"/>
  <c r="Y48" i="24" s="1"/>
  <c r="Y33" i="24"/>
  <c r="Y45" i="24" s="1"/>
  <c r="Y35" i="24"/>
  <c r="Y47" i="24" s="1"/>
  <c r="Y32" i="24"/>
  <c r="Y44" i="24" s="1"/>
  <c r="Z11" i="24"/>
  <c r="Z10" i="24"/>
  <c r="Z9" i="24"/>
  <c r="Z8" i="24"/>
  <c r="Z7" i="24"/>
  <c r="Z6" i="24"/>
  <c r="Z5" i="24"/>
  <c r="Z14" i="24"/>
  <c r="Z13" i="24"/>
  <c r="Z12" i="24"/>
  <c r="Y28" i="24"/>
  <c r="Y34" i="24"/>
  <c r="Y46" i="24" s="1"/>
  <c r="Y29" i="24"/>
  <c r="Y41" i="24" s="1"/>
  <c r="Y30" i="24"/>
  <c r="Y42" i="24" s="1"/>
  <c r="Z16" i="24" l="1"/>
  <c r="Z18" i="24"/>
  <c r="Y40" i="24"/>
  <c r="Y39" i="24" s="1"/>
  <c r="Y38" i="24"/>
  <c r="Z17" i="24"/>
  <c r="Z25" i="24"/>
  <c r="Z20" i="24"/>
  <c r="Z22" i="24"/>
  <c r="Z24" i="24"/>
  <c r="Z19" i="24"/>
  <c r="Z23" i="24"/>
  <c r="Z21" i="24"/>
  <c r="Z26" i="24" l="1"/>
  <c r="Z28" i="24" s="1"/>
  <c r="AA5" i="24" a="1"/>
  <c r="Z37" i="24" l="1"/>
  <c r="Z49" i="24" s="1"/>
  <c r="Z36" i="24"/>
  <c r="Z48" i="24" s="1"/>
  <c r="Z31" i="24"/>
  <c r="Z43" i="24" s="1"/>
  <c r="AA14" i="24"/>
  <c r="AA13" i="24"/>
  <c r="AA12" i="24"/>
  <c r="AA11" i="24"/>
  <c r="AA10" i="24"/>
  <c r="AA9" i="24"/>
  <c r="AA8" i="24"/>
  <c r="AA6" i="24"/>
  <c r="AA5" i="24"/>
  <c r="AA7" i="24"/>
  <c r="Z32" i="24"/>
  <c r="Z44" i="24" s="1"/>
  <c r="Z40" i="24"/>
  <c r="Z34" i="24"/>
  <c r="Z46" i="24" s="1"/>
  <c r="Z35" i="24"/>
  <c r="Z47" i="24" s="1"/>
  <c r="Z30" i="24"/>
  <c r="Z42" i="24" s="1"/>
  <c r="Z29" i="24"/>
  <c r="Z41" i="24" s="1"/>
  <c r="Z33" i="24"/>
  <c r="Z45" i="24" s="1"/>
  <c r="AA19" i="24" l="1"/>
  <c r="Z38" i="24"/>
  <c r="Z39" i="24"/>
  <c r="AA17" i="24"/>
  <c r="AA22" i="24"/>
  <c r="AA23" i="24"/>
  <c r="AA16" i="24"/>
  <c r="AA20" i="24"/>
  <c r="AA24" i="24"/>
  <c r="AA18" i="24"/>
  <c r="AA21" i="24"/>
  <c r="AA25" i="24"/>
  <c r="AB5" i="24" l="1" a="1"/>
  <c r="AA26" i="24"/>
  <c r="AA31" i="24" s="1"/>
  <c r="AA43" i="24" s="1"/>
  <c r="AA32" i="24" l="1"/>
  <c r="AA44" i="24" s="1"/>
  <c r="AA35" i="24"/>
  <c r="AA47" i="24" s="1"/>
  <c r="AA28" i="24"/>
  <c r="AA30" i="24"/>
  <c r="AA42" i="24" s="1"/>
  <c r="AB5" i="24"/>
  <c r="AB14" i="24"/>
  <c r="AB13" i="24"/>
  <c r="AB11" i="24"/>
  <c r="AB10" i="24"/>
  <c r="AB9" i="24"/>
  <c r="AB8" i="24"/>
  <c r="AB12" i="24"/>
  <c r="AB7" i="24"/>
  <c r="AB6" i="24"/>
  <c r="AA37" i="24"/>
  <c r="AA49" i="24" s="1"/>
  <c r="AA29" i="24"/>
  <c r="AA41" i="24" s="1"/>
  <c r="AA33" i="24"/>
  <c r="AA45" i="24" s="1"/>
  <c r="AA34" i="24"/>
  <c r="AA46" i="24" s="1"/>
  <c r="AA36" i="24"/>
  <c r="AA48" i="24" s="1"/>
  <c r="AB19" i="24" l="1"/>
  <c r="AB18" i="24"/>
  <c r="AB25" i="24"/>
  <c r="AB16" i="24"/>
  <c r="AB20" i="24"/>
  <c r="AB21" i="24"/>
  <c r="AB17" i="24"/>
  <c r="AB23" i="24"/>
  <c r="AB22" i="24"/>
  <c r="AA40" i="24"/>
  <c r="AA39" i="24" s="1"/>
  <c r="AA38" i="24"/>
  <c r="AB24" i="24"/>
  <c r="AC5" i="24" l="1" a="1"/>
  <c r="AB26" i="24"/>
  <c r="AB31" i="24" s="1"/>
  <c r="AB43" i="24" s="1"/>
  <c r="AB30" i="24" l="1"/>
  <c r="AB42" i="24" s="1"/>
  <c r="AB32" i="24"/>
  <c r="AB44" i="24" s="1"/>
  <c r="AC10" i="24"/>
  <c r="AC9" i="24"/>
  <c r="AC8" i="24"/>
  <c r="AC7" i="24"/>
  <c r="AC6" i="24"/>
  <c r="AC5" i="24"/>
  <c r="AC14" i="24"/>
  <c r="AC13" i="24"/>
  <c r="AC12" i="24"/>
  <c r="AC11" i="24"/>
  <c r="AB35" i="24"/>
  <c r="AB47" i="24" s="1"/>
  <c r="AB28" i="24"/>
  <c r="AB37" i="24"/>
  <c r="AB49" i="24" s="1"/>
  <c r="AB29" i="24"/>
  <c r="AB41" i="24" s="1"/>
  <c r="AB34" i="24"/>
  <c r="AB46" i="24" s="1"/>
  <c r="AB33" i="24"/>
  <c r="AB45" i="24" s="1"/>
  <c r="AB36" i="24"/>
  <c r="AB48" i="24" s="1"/>
  <c r="AC23" i="24" l="1"/>
  <c r="AB40" i="24"/>
  <c r="AB39" i="24" s="1"/>
  <c r="AB38" i="24"/>
  <c r="AC17" i="24"/>
  <c r="AC25" i="24"/>
  <c r="AC19" i="24"/>
  <c r="AC24" i="24"/>
  <c r="AC20" i="24"/>
  <c r="AC21" i="24"/>
  <c r="AC22" i="24"/>
  <c r="AC16" i="24"/>
  <c r="AC18" i="24"/>
  <c r="AC26" i="24" l="1"/>
  <c r="AC35" i="24" s="1"/>
  <c r="AC47" i="24" s="1"/>
  <c r="AD5" i="24" a="1"/>
  <c r="AC37" i="24" l="1"/>
  <c r="AC49" i="24" s="1"/>
  <c r="AC28" i="24"/>
  <c r="AC32" i="24"/>
  <c r="AC44" i="24" s="1"/>
  <c r="AD14" i="24"/>
  <c r="AD13" i="24"/>
  <c r="AD12" i="24"/>
  <c r="AD11" i="24"/>
  <c r="AD10" i="24"/>
  <c r="AD9" i="24"/>
  <c r="AD8" i="24"/>
  <c r="AD7" i="24"/>
  <c r="AD5" i="24"/>
  <c r="AD6" i="24"/>
  <c r="AC31" i="24"/>
  <c r="AC43" i="24" s="1"/>
  <c r="AC29" i="24"/>
  <c r="AC41" i="24" s="1"/>
  <c r="AC36" i="24"/>
  <c r="AC48" i="24" s="1"/>
  <c r="AC33" i="24"/>
  <c r="AC45" i="24" s="1"/>
  <c r="AC30" i="24"/>
  <c r="AC42" i="24" s="1"/>
  <c r="AC34" i="24"/>
  <c r="AC46" i="24" s="1"/>
  <c r="AD19" i="24" l="1"/>
  <c r="AD17" i="24"/>
  <c r="AD18" i="24"/>
  <c r="AD21" i="24"/>
  <c r="AD16" i="24"/>
  <c r="AD25" i="24"/>
  <c r="AD22" i="24"/>
  <c r="AD23" i="24"/>
  <c r="AD20" i="24"/>
  <c r="AC40" i="24"/>
  <c r="AC39" i="24" s="1"/>
  <c r="AC38" i="24"/>
  <c r="AD24" i="24"/>
  <c r="AD26" i="24" l="1"/>
  <c r="AD31" i="24" s="1"/>
  <c r="AD43" i="24" s="1"/>
  <c r="AE5" i="24" a="1"/>
  <c r="AD29" i="24"/>
  <c r="AD41" i="24" s="1"/>
  <c r="AD28" i="24" l="1"/>
  <c r="AD40" i="24" s="1"/>
  <c r="AD37" i="24"/>
  <c r="AD49" i="24" s="1"/>
  <c r="AD33" i="24"/>
  <c r="AD45" i="24" s="1"/>
  <c r="AD34" i="24"/>
  <c r="AD46" i="24" s="1"/>
  <c r="AE5" i="24"/>
  <c r="AE14" i="24"/>
  <c r="AE13" i="24"/>
  <c r="AE12" i="24"/>
  <c r="AE11" i="24"/>
  <c r="AE10" i="24"/>
  <c r="AE9" i="24"/>
  <c r="AE8" i="24"/>
  <c r="AE7" i="24"/>
  <c r="AE6" i="24"/>
  <c r="AD30" i="24"/>
  <c r="AD42" i="24" s="1"/>
  <c r="AD35" i="24"/>
  <c r="AD47" i="24" s="1"/>
  <c r="AD32" i="24"/>
  <c r="AD44" i="24" s="1"/>
  <c r="AD36" i="24"/>
  <c r="AD48" i="24" s="1"/>
  <c r="AE17" i="24" l="1"/>
  <c r="AE21" i="24"/>
  <c r="AE24" i="24"/>
  <c r="AE19" i="24"/>
  <c r="AE22" i="24"/>
  <c r="AE23" i="24"/>
  <c r="AE18" i="24"/>
  <c r="AE16" i="24"/>
  <c r="AD38" i="24"/>
  <c r="AE20" i="24"/>
  <c r="AE25" i="24"/>
  <c r="AD39" i="24"/>
  <c r="AF5" i="24" l="1" a="1"/>
  <c r="AE26" i="24"/>
  <c r="AE29" i="24" s="1"/>
  <c r="AE41" i="24" s="1"/>
  <c r="AE33" i="24" l="1"/>
  <c r="AE45" i="24" s="1"/>
  <c r="AE31" i="24"/>
  <c r="AE43" i="24" s="1"/>
  <c r="AE30" i="24"/>
  <c r="AE42" i="24" s="1"/>
  <c r="AE34" i="24"/>
  <c r="AE46" i="24" s="1"/>
  <c r="AE32" i="24"/>
  <c r="AE44" i="24" s="1"/>
  <c r="AE36" i="24"/>
  <c r="AE48" i="24" s="1"/>
  <c r="AF9" i="24"/>
  <c r="AF8" i="24"/>
  <c r="AF7" i="24"/>
  <c r="AF6" i="24"/>
  <c r="AF5" i="24"/>
  <c r="AF14" i="24"/>
  <c r="AF13" i="24"/>
  <c r="AF12" i="24"/>
  <c r="AF10" i="24"/>
  <c r="AF11" i="24"/>
  <c r="AE35" i="24"/>
  <c r="AE47" i="24" s="1"/>
  <c r="AE28" i="24"/>
  <c r="AE37" i="24"/>
  <c r="AE49" i="24" s="1"/>
  <c r="AF21" i="24" l="1"/>
  <c r="AF24" i="24"/>
  <c r="AE40" i="24"/>
  <c r="AE39" i="24" s="1"/>
  <c r="AE38" i="24"/>
  <c r="AF23" i="24"/>
  <c r="AF18" i="24"/>
  <c r="AF22" i="24"/>
  <c r="AF16" i="24"/>
  <c r="AF19" i="24"/>
  <c r="AF25" i="24"/>
  <c r="AF17" i="24"/>
  <c r="AF20" i="24"/>
  <c r="AF26" i="24" l="1"/>
  <c r="AF28" i="24" s="1"/>
  <c r="AG5" i="24" a="1"/>
  <c r="AF29" i="24" l="1"/>
  <c r="AF41" i="24" s="1"/>
  <c r="AF35" i="24"/>
  <c r="AF47" i="24" s="1"/>
  <c r="AF30" i="24"/>
  <c r="AF42" i="24" s="1"/>
  <c r="AF32" i="24"/>
  <c r="AF44" i="24" s="1"/>
  <c r="AF37" i="24"/>
  <c r="AF49" i="24" s="1"/>
  <c r="AF34" i="24"/>
  <c r="AF46" i="24" s="1"/>
  <c r="AF31" i="24"/>
  <c r="AF43" i="24" s="1"/>
  <c r="AG14" i="24"/>
  <c r="AG13" i="24"/>
  <c r="AG12" i="24"/>
  <c r="AG11" i="24"/>
  <c r="AG10" i="24"/>
  <c r="AG9" i="24"/>
  <c r="AG8" i="24"/>
  <c r="AG7" i="24"/>
  <c r="AG6" i="24"/>
  <c r="AG5" i="24"/>
  <c r="AF40" i="24"/>
  <c r="AF36" i="24"/>
  <c r="AF48" i="24" s="1"/>
  <c r="AF33" i="24"/>
  <c r="AF45" i="24" s="1"/>
  <c r="AG18" i="24" l="1"/>
  <c r="AG17" i="24"/>
  <c r="AG22" i="24"/>
  <c r="AG16" i="24"/>
  <c r="AG23" i="24"/>
  <c r="AF38" i="24"/>
  <c r="AG19" i="24"/>
  <c r="AG20" i="24"/>
  <c r="AG24" i="24"/>
  <c r="AF39" i="24"/>
  <c r="AG21" i="24"/>
  <c r="AG25" i="24"/>
  <c r="AG26" i="24" l="1"/>
  <c r="AG30" i="24" s="1"/>
  <c r="AG42" i="24" s="1"/>
  <c r="AG29" i="24" l="1"/>
  <c r="AG41" i="24" s="1"/>
  <c r="AG31" i="24"/>
  <c r="AG43" i="24" s="1"/>
  <c r="AG34" i="24"/>
  <c r="AG46" i="24" s="1"/>
  <c r="AG37" i="24"/>
  <c r="AG49" i="24" s="1"/>
  <c r="AG28" i="24"/>
  <c r="AG35" i="24"/>
  <c r="AG47" i="24" s="1"/>
  <c r="AG32" i="24"/>
  <c r="AG44" i="24" s="1"/>
  <c r="AG33" i="24"/>
  <c r="AG45" i="24" s="1"/>
  <c r="AG36" i="24"/>
  <c r="AG48" i="24" s="1"/>
  <c r="AG40" i="24" l="1"/>
  <c r="AG39" i="24" s="1"/>
  <c r="M40" i="24" s="1"/>
  <c r="O38" i="2" a="1"/>
  <c r="AG38" i="24"/>
  <c r="B40" i="24" l="1"/>
  <c r="L30" i="2"/>
  <c r="O47" i="2"/>
  <c r="O27" i="2" s="1"/>
  <c r="Q27" i="2" s="1"/>
  <c r="O46" i="2"/>
  <c r="O26" i="2" s="1"/>
  <c r="Q26" i="2" s="1"/>
  <c r="O45" i="2"/>
  <c r="O25" i="2" s="1"/>
  <c r="Q25" i="2" s="1"/>
  <c r="O44" i="2"/>
  <c r="O24" i="2" s="1"/>
  <c r="Q24" i="2" s="1"/>
  <c r="O43" i="2"/>
  <c r="O23" i="2" s="1"/>
  <c r="Q23" i="2" s="1"/>
  <c r="O42" i="2"/>
  <c r="O22" i="2" s="1"/>
  <c r="Q22" i="2" s="1"/>
  <c r="O41" i="2"/>
  <c r="O21" i="2" s="1"/>
  <c r="Q21" i="2" s="1"/>
  <c r="O40" i="2"/>
  <c r="O20" i="2" s="1"/>
  <c r="O39" i="2"/>
  <c r="O38" i="2"/>
  <c r="M41" i="24"/>
  <c r="B39" i="24" s="1"/>
  <c r="O15" i="2" s="1"/>
  <c r="K15" i="2"/>
  <c r="U38" i="2" l="1"/>
  <c r="V52" i="2"/>
  <c r="U52" i="2"/>
  <c r="T52" i="2"/>
  <c r="V50" i="2"/>
  <c r="V51" i="2"/>
  <c r="O19" i="2"/>
  <c r="U39" i="2"/>
  <c r="AC39" i="2" s="1"/>
  <c r="M32" i="2"/>
  <c r="U50" i="2"/>
  <c r="T50" i="2"/>
  <c r="P32" i="2"/>
  <c r="U51" i="2"/>
  <c r="T51" i="2"/>
  <c r="O18" i="2"/>
  <c r="T38" i="2"/>
  <c r="C41" i="24"/>
  <c r="D42" i="24" s="1"/>
  <c r="E43" i="24" s="1"/>
  <c r="F44" i="24" s="1"/>
  <c r="G45" i="24" s="1"/>
  <c r="H46" i="24" s="1"/>
  <c r="I47" i="24" s="1"/>
  <c r="J48" i="24" s="1"/>
  <c r="K49" i="24" s="1"/>
  <c r="B51" i="24" a="1"/>
  <c r="AC38" i="2" l="1"/>
  <c r="AC37" i="2" s="1"/>
  <c r="I32" i="2" s="1"/>
  <c r="P19" i="2"/>
  <c r="Q19" i="2" s="1"/>
  <c r="P18" i="2"/>
  <c r="P20" i="2"/>
  <c r="Q20" i="2" s="1"/>
  <c r="F60" i="24"/>
  <c r="J58" i="24"/>
  <c r="D57" i="24"/>
  <c r="H55" i="24"/>
  <c r="B54" i="24"/>
  <c r="F52" i="24"/>
  <c r="E60" i="24"/>
  <c r="I58" i="24"/>
  <c r="C57" i="24"/>
  <c r="G55" i="24"/>
  <c r="K53" i="24"/>
  <c r="E52" i="24"/>
  <c r="D60" i="24"/>
  <c r="H58" i="24"/>
  <c r="B57" i="24"/>
  <c r="F55" i="24"/>
  <c r="J53" i="24"/>
  <c r="D52" i="24"/>
  <c r="C60" i="24"/>
  <c r="G58" i="24"/>
  <c r="K56" i="24"/>
  <c r="E55" i="24"/>
  <c r="I53" i="24"/>
  <c r="C52" i="24"/>
  <c r="B60" i="24"/>
  <c r="F58" i="24"/>
  <c r="J56" i="24"/>
  <c r="D55" i="24"/>
  <c r="H53" i="24"/>
  <c r="B52" i="24"/>
  <c r="K59" i="24"/>
  <c r="E58" i="24"/>
  <c r="I56" i="24"/>
  <c r="C55" i="24"/>
  <c r="G53" i="24"/>
  <c r="K51" i="24"/>
  <c r="J59" i="24"/>
  <c r="D58" i="24"/>
  <c r="H56" i="24"/>
  <c r="B55" i="24"/>
  <c r="F53" i="24"/>
  <c r="J51" i="24"/>
  <c r="I59" i="24"/>
  <c r="C58" i="24"/>
  <c r="G56" i="24"/>
  <c r="K54" i="24"/>
  <c r="E53" i="24"/>
  <c r="I51" i="24"/>
  <c r="H59" i="24"/>
  <c r="B58" i="24"/>
  <c r="F56" i="24"/>
  <c r="J54" i="24"/>
  <c r="D53" i="24"/>
  <c r="H51" i="24"/>
  <c r="G59" i="24"/>
  <c r="K57" i="24"/>
  <c r="E56" i="24"/>
  <c r="I54" i="24"/>
  <c r="C53" i="24"/>
  <c r="G51" i="24"/>
  <c r="F59" i="24"/>
  <c r="J57" i="24"/>
  <c r="D56" i="24"/>
  <c r="H54" i="24"/>
  <c r="B53" i="24"/>
  <c r="F51" i="24"/>
  <c r="K60" i="24"/>
  <c r="E59" i="24"/>
  <c r="I57" i="24"/>
  <c r="C56" i="24"/>
  <c r="G54" i="24"/>
  <c r="K52" i="24"/>
  <c r="E51" i="24"/>
  <c r="J60" i="24"/>
  <c r="D59" i="24"/>
  <c r="H57" i="24"/>
  <c r="B56" i="24"/>
  <c r="F54" i="24"/>
  <c r="J52" i="24"/>
  <c r="D51" i="24"/>
  <c r="I60" i="24"/>
  <c r="C59" i="24"/>
  <c r="G57" i="24"/>
  <c r="K55" i="24"/>
  <c r="E54" i="24"/>
  <c r="I52" i="24"/>
  <c r="C51" i="24"/>
  <c r="H60" i="24"/>
  <c r="G60" i="24"/>
  <c r="B59" i="24"/>
  <c r="K58" i="24"/>
  <c r="F57" i="24"/>
  <c r="E57" i="24"/>
  <c r="J55" i="24"/>
  <c r="I55" i="24"/>
  <c r="D54" i="24"/>
  <c r="C54" i="24"/>
  <c r="H52" i="24"/>
  <c r="G52" i="24"/>
  <c r="B51" i="24"/>
  <c r="Q18" i="2"/>
  <c r="P30" i="2" l="1"/>
  <c r="B62" i="24" a="1"/>
  <c r="K62" i="24" l="1"/>
  <c r="J62" i="24"/>
  <c r="I62" i="24"/>
  <c r="H62" i="24"/>
  <c r="G62" i="24"/>
  <c r="F62" i="24"/>
  <c r="E62" i="24"/>
  <c r="D62" i="24"/>
  <c r="C62" i="24"/>
  <c r="B6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7" authorId="0" shapeId="0" xr:uid="{00000000-0006-0000-0100-000003000000}">
      <text>
        <r>
          <rPr>
            <sz val="10"/>
            <rFont val="Arial"/>
            <charset val="1"/>
          </rPr>
          <t xml:space="preserve">Absolute 
</t>
        </r>
        <r>
          <rPr>
            <sz val="10"/>
            <color rgb="FF000000"/>
            <rFont val="Tahoma"/>
            <family val="2"/>
            <charset val="1"/>
          </rPr>
          <t>errors</t>
        </r>
      </text>
    </comment>
    <comment ref="O30" authorId="0" shapeId="0" xr:uid="{00000000-0006-0000-0100-000002000000}">
      <text>
        <r>
          <rPr>
            <sz val="10"/>
            <rFont val="Arial"/>
            <charset val="1"/>
          </rPr>
          <t xml:space="preserve">Mean relative 
</t>
        </r>
        <r>
          <rPr>
            <sz val="10"/>
            <color rgb="FF000000"/>
            <rFont val="Tahoma"/>
            <family val="2"/>
            <charset val="1"/>
          </rPr>
          <t>error</t>
        </r>
      </text>
    </comment>
    <comment ref="J32" authorId="0" shapeId="0" xr:uid="{00000000-0006-0000-0100-000001000000}">
      <text>
        <r>
          <rPr>
            <sz val="10"/>
            <rFont val="Arial"/>
            <charset val="1"/>
          </rPr>
          <t xml:space="preserve">Ordinal
</t>
        </r>
        <r>
          <rPr>
            <sz val="10"/>
            <color rgb="FF000000"/>
            <rFont val="Tahoma"/>
            <family val="2"/>
            <charset val="1"/>
          </rPr>
          <t>Inconsistency</t>
        </r>
      </text>
    </comment>
  </commentList>
</comments>
</file>

<file path=xl/sharedStrings.xml><?xml version="1.0" encoding="utf-8"?>
<sst xmlns="http://schemas.openxmlformats.org/spreadsheetml/2006/main" count="1136" uniqueCount="151">
  <si>
    <t>Date</t>
  </si>
  <si>
    <t>Comment</t>
  </si>
  <si>
    <r>
      <rPr>
        <b/>
        <sz val="14"/>
        <rFont val="Arial"/>
        <family val="2"/>
        <charset val="1"/>
      </rPr>
      <t>AHP Analytic Hierarchy Process</t>
    </r>
    <r>
      <rPr>
        <b/>
        <sz val="10"/>
        <rFont val="Arial"/>
        <family val="2"/>
        <charset val="1"/>
      </rPr>
      <t xml:space="preserve"> (EVM multiple inputs)</t>
    </r>
  </si>
  <si>
    <r>
      <rPr>
        <sz val="10"/>
        <rFont val="Arial"/>
        <family val="2"/>
        <charset val="1"/>
      </rPr>
      <t>K. D. Goepel</t>
    </r>
    <r>
      <rPr>
        <sz val="10"/>
        <color rgb="FF1F497D"/>
        <rFont val="Arial"/>
        <family val="2"/>
        <charset val="1"/>
      </rPr>
      <t xml:space="preserve"> Version</t>
    </r>
    <r>
      <rPr>
        <b/>
        <sz val="10"/>
        <color rgb="FF1F497D"/>
        <rFont val="Arial"/>
        <family val="2"/>
        <charset val="1"/>
      </rPr>
      <t xml:space="preserve"> 07.07.2022</t>
    </r>
  </si>
  <si>
    <t>AHP 1-9</t>
  </si>
  <si>
    <t>Log</t>
  </si>
  <si>
    <t>Sqrt</t>
  </si>
  <si>
    <t>InvLin</t>
  </si>
  <si>
    <t>Bal-n</t>
  </si>
  <si>
    <t>Power</t>
  </si>
  <si>
    <t>Geom</t>
  </si>
  <si>
    <t>Adaptive</t>
  </si>
  <si>
    <t xml:space="preserve">n= </t>
  </si>
  <si>
    <t>Number of criteria (2 to 10)</t>
  </si>
  <si>
    <t>Scale:</t>
  </si>
  <si>
    <t xml:space="preserve">N= </t>
  </si>
  <si>
    <t>Number of Participants (1 to 20)</t>
  </si>
  <si>
    <r>
      <rPr>
        <i/>
        <sz val="10"/>
        <rFont val="Symbol"/>
        <family val="1"/>
        <charset val="2"/>
      </rPr>
      <t>a</t>
    </r>
    <r>
      <rPr>
        <i/>
        <sz val="10"/>
        <rFont val="Arial"/>
        <family val="2"/>
        <charset val="1"/>
      </rPr>
      <t>:</t>
    </r>
  </si>
  <si>
    <t>Consensus:</t>
  </si>
  <si>
    <t xml:space="preserve">p= </t>
  </si>
  <si>
    <t>selected Participant (0=consol.)</t>
  </si>
  <si>
    <t xml:space="preserve">Objective  </t>
  </si>
  <si>
    <t xml:space="preserve">Author </t>
  </si>
  <si>
    <t xml:space="preserve">Date </t>
  </si>
  <si>
    <t>Thresh:</t>
  </si>
  <si>
    <t>Iterations:</t>
  </si>
  <si>
    <t>EVM check:</t>
  </si>
  <si>
    <t xml:space="preserve">Table </t>
  </si>
  <si>
    <t>Criterion</t>
  </si>
  <si>
    <t>Weights</t>
  </si>
  <si>
    <t>+/-</t>
  </si>
  <si>
    <t xml:space="preserve">for 9&amp;10 unprotect the input sheets and expand the </t>
  </si>
  <si>
    <t>question section ("+" in row 66)</t>
  </si>
  <si>
    <t xml:space="preserve">Result </t>
  </si>
  <si>
    <t>Eigenvalue</t>
  </si>
  <si>
    <t>Lambda:</t>
  </si>
  <si>
    <t>MRE:</t>
  </si>
  <si>
    <t>Consistency Ratio</t>
  </si>
  <si>
    <t>GCI:</t>
  </si>
  <si>
    <t>Psi:</t>
  </si>
  <si>
    <t>CR:</t>
  </si>
  <si>
    <t>MRE est</t>
  </si>
  <si>
    <t>Matrix</t>
  </si>
  <si>
    <t>normalized principal Eigenvector</t>
  </si>
  <si>
    <t>CGI Calculation</t>
  </si>
  <si>
    <t>Error calculation EVM (Tomashevskii)</t>
  </si>
  <si>
    <t>i:</t>
  </si>
  <si>
    <t>Unscaled</t>
  </si>
  <si>
    <t>Dissonance (Ordinal Inconsistency):</t>
  </si>
  <si>
    <t>Calculation of Consensus Indicator based on RGGM results</t>
  </si>
  <si>
    <t>b</t>
  </si>
  <si>
    <t>RGGM</t>
  </si>
  <si>
    <t>results</t>
  </si>
  <si>
    <t>p-avg</t>
  </si>
  <si>
    <t>a</t>
  </si>
  <si>
    <r>
      <rPr>
        <sz val="8"/>
        <rFont val="Arial"/>
        <family val="2"/>
        <charset val="1"/>
      </rPr>
      <t>D</t>
    </r>
    <r>
      <rPr>
        <sz val="8"/>
        <rFont val="Symbol"/>
        <family val="1"/>
        <charset val="2"/>
      </rPr>
      <t>a</t>
    </r>
  </si>
  <si>
    <t>Shannon</t>
  </si>
  <si>
    <t>Entropy</t>
  </si>
  <si>
    <t>AHP cor</t>
  </si>
  <si>
    <t>p-avg*ln(p-avg)</t>
  </si>
  <si>
    <t>g</t>
  </si>
  <si>
    <t>AHP Analytic Hierarchy Process</t>
  </si>
  <si>
    <t>n=</t>
  </si>
  <si>
    <t>Input</t>
  </si>
  <si>
    <t>Objective:</t>
  </si>
  <si>
    <t>Only input data in the light green fields!</t>
  </si>
  <si>
    <r>
      <rPr>
        <sz val="8"/>
        <rFont val="Arial"/>
        <family val="2"/>
        <charset val="1"/>
      </rPr>
      <t xml:space="preserve">Please compare the importance of the elements in relation to the objective and fill in the table: Which element of each pair is more important, </t>
    </r>
    <r>
      <rPr>
        <b/>
        <sz val="8"/>
        <rFont val="Arial"/>
        <family val="2"/>
        <charset val="1"/>
      </rPr>
      <t>A or B</t>
    </r>
    <r>
      <rPr>
        <sz val="8"/>
        <rFont val="Arial"/>
        <family val="2"/>
        <charset val="1"/>
      </rPr>
      <t xml:space="preserve">, and </t>
    </r>
    <r>
      <rPr>
        <b/>
        <sz val="8"/>
        <rFont val="Arial"/>
        <family val="2"/>
        <charset val="1"/>
      </rPr>
      <t>how much</t>
    </r>
    <r>
      <rPr>
        <sz val="8"/>
        <rFont val="Arial"/>
        <family val="2"/>
        <charset val="1"/>
      </rPr>
      <t xml:space="preserve"> more on a scale 1-9 as given below. 
</t>
    </r>
    <r>
      <rPr>
        <b/>
        <sz val="8"/>
        <rFont val="Arial"/>
        <family val="2"/>
        <charset val="1"/>
      </rPr>
      <t>Once completed, you might adjust highlighted comparisons 1 to 3 to improve consistency.</t>
    </r>
  </si>
  <si>
    <t>n</t>
  </si>
  <si>
    <t>Criteria</t>
  </si>
  <si>
    <t>RGMM</t>
  </si>
  <si>
    <t>Participant 1</t>
  </si>
  <si>
    <t>Name</t>
  </si>
  <si>
    <t>Weight</t>
  </si>
  <si>
    <t>more important ?</t>
  </si>
  <si>
    <t>Scale</t>
  </si>
  <si>
    <t>A</t>
  </si>
  <si>
    <t>i</t>
  </si>
  <si>
    <t>j</t>
  </si>
  <si>
    <t>B</t>
  </si>
  <si>
    <t xml:space="preserve"> - A or B</t>
  </si>
  <si>
    <t>(1-9)</t>
  </si>
  <si>
    <t>Intensity of importance</t>
  </si>
  <si>
    <t>Definition</t>
  </si>
  <si>
    <t>Explanation</t>
  </si>
  <si>
    <t>Equal importance</t>
  </si>
  <si>
    <t>Two elements contribute equally to the objective</t>
  </si>
  <si>
    <t>Moderate importance</t>
  </si>
  <si>
    <t>Experience and judgment slightly favor one element over another</t>
  </si>
  <si>
    <t>Strong Importance</t>
  </si>
  <si>
    <t>Experience and judgment strongly favor one element over another</t>
  </si>
  <si>
    <t>Very strong importance</t>
  </si>
  <si>
    <t>One element is favored very strongly over another, it dominance is demonstrated in practice</t>
  </si>
  <si>
    <t>Extreme importance</t>
  </si>
  <si>
    <t>The evidence favoring one element over another is of the highest possible order of affirmation</t>
  </si>
  <si>
    <t>2,4,6,8 can be used to express intermediate values</t>
  </si>
  <si>
    <t>Supporting calculations</t>
  </si>
  <si>
    <t>Decision Matrix A</t>
  </si>
  <si>
    <t>participant</t>
  </si>
  <si>
    <t>Error calc</t>
  </si>
  <si>
    <t>col sum</t>
  </si>
  <si>
    <t>Ln(A) for calculation of RGMM</t>
  </si>
  <si>
    <t>Consistency Error Matrix</t>
  </si>
  <si>
    <t>pj/pi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</si>
  <si>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</si>
  <si>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</si>
  <si>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</si>
  <si>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</si>
  <si>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</si>
  <si>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</si>
  <si>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</si>
  <si>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</si>
  <si>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</si>
  <si>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</si>
  <si>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</si>
  <si>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</si>
  <si>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</si>
  <si>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</si>
  <si>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</si>
  <si>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</si>
  <si>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</si>
  <si>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</si>
  <si>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</si>
  <si>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AHP</t>
  </si>
  <si>
    <t>Analytic Hierarchy Process</t>
  </si>
  <si>
    <t>Multiple Input Summary Sheet</t>
  </si>
  <si>
    <t>= k number of participants</t>
  </si>
  <si>
    <t>Consolidated = Weighted geometric mean off participants</t>
  </si>
  <si>
    <t>= n number of criteria</t>
  </si>
  <si>
    <t>Calculation of weighted geometric mean</t>
  </si>
  <si>
    <t>C</t>
  </si>
  <si>
    <t>Consolidated</t>
  </si>
  <si>
    <t>Consolidated  log</t>
  </si>
  <si>
    <t>sum of weights</t>
  </si>
  <si>
    <t>Analytic Hierarchy Process (10x10 Matrix)</t>
  </si>
  <si>
    <t>Power Method (Dominant Eigenvalue)</t>
  </si>
  <si>
    <t>Iterations</t>
  </si>
  <si>
    <t>Sum (col)</t>
  </si>
  <si>
    <t>Scaling</t>
  </si>
  <si>
    <t>Normalization</t>
  </si>
  <si>
    <t>Eigenvalue:</t>
  </si>
  <si>
    <t>Check</t>
  </si>
  <si>
    <t>err:</t>
  </si>
  <si>
    <t>check:</t>
  </si>
  <si>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</si>
  <si>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</si>
  <si>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sz val="10"/>
        <color rgb="FF000000"/>
        <rFont val="Calibri"/>
        <family val="2"/>
        <charset val="1"/>
      </rPr>
      <t>(</t>
    </r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*I)</t>
    </r>
    <r>
      <rPr>
        <b/>
        <sz val="10"/>
        <color rgb="FF000000"/>
        <rFont val="Calibri"/>
        <family val="2"/>
        <charset val="1"/>
      </rPr>
      <t>x</t>
    </r>
  </si>
  <si>
    <t>Comparing Smoothness Factor Among Conventional Checkout, Self-Checkout and Unmanned Shop</t>
  </si>
  <si>
    <t>Group 2</t>
  </si>
  <si>
    <t>Conventional Cashier</t>
  </si>
  <si>
    <t>Self-Checkout</t>
  </si>
  <si>
    <t>Unmanned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</si>
</sst>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\-??_);_(@_)"/>
    <numFmt numFmtId="165" formatCode="mm/dd/yyyy"/>
    <numFmt numFmtId="166" formatCode="0.0%"/>
    <numFmt numFmtId="167" formatCode="[$-409]d\-mmm\-yy;@"/>
    <numFmt numFmtId="168" formatCode="0E+00"/>
    <numFmt numFmtId="169" formatCode="0.0E+00"/>
    <numFmt numFmtId="170" formatCode="0.000"/>
    <numFmt numFmtId="171" formatCode="0.0000"/>
    <numFmt numFmtId="172" formatCode="0.0"/>
    <numFmt numFmtId="173" formatCode="_(* #,##0.0000_);_(* \(#,##0.0000\);_(* \-??_);_(@_)"/>
  </numFmts>
  <fonts count="43" x14ac:knownFonts="1">
    <font>
      <sz val="10"/>
      <name val="Arial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1"/>
      <name val="Arial"/>
      <family val="2"/>
      <charset val="1"/>
    </font>
    <font>
      <u/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sz val="10"/>
      <color rgb="FF006100"/>
      <name val="Arial"/>
      <family val="2"/>
      <charset val="1"/>
    </font>
    <font>
      <b/>
      <sz val="14"/>
      <name val="Arial"/>
      <family val="2"/>
      <charset val="1"/>
    </font>
    <font>
      <sz val="10"/>
      <color rgb="FF1F497D"/>
      <name val="Arial"/>
      <family val="2"/>
      <charset val="1"/>
    </font>
    <font>
      <b/>
      <sz val="10"/>
      <color rgb="FF1F497D"/>
      <name val="Arial"/>
      <family val="2"/>
      <charset val="1"/>
    </font>
    <font>
      <sz val="8"/>
      <color rgb="FF80808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A7D00"/>
      <name val="Arial"/>
      <family val="2"/>
      <charset val="1"/>
    </font>
    <font>
      <sz val="10"/>
      <color rgb="FFFA7D00"/>
      <name val="Arial"/>
      <family val="2"/>
      <charset val="1"/>
    </font>
    <font>
      <i/>
      <sz val="10"/>
      <name val="Symbol"/>
      <family val="1"/>
      <charset val="2"/>
    </font>
    <font>
      <i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7F7F7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8"/>
      <name val="Calibri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80"/>
      <name val="Arial"/>
      <family val="2"/>
      <charset val="1"/>
    </font>
    <font>
      <sz val="8"/>
      <color rgb="FF006100"/>
      <name val="Arial"/>
      <family val="2"/>
      <charset val="1"/>
    </font>
    <font>
      <sz val="8"/>
      <color rgb="FFFFFFFF"/>
      <name val="Arial"/>
      <family val="2"/>
      <charset val="1"/>
    </font>
    <font>
      <b/>
      <sz val="10"/>
      <color rgb="FFFFCC99"/>
      <name val="Arial"/>
      <family val="2"/>
      <charset val="1"/>
    </font>
    <font>
      <b/>
      <sz val="8"/>
      <name val="Arial"/>
      <family val="2"/>
      <charset val="1"/>
    </font>
    <font>
      <b/>
      <sz val="10"/>
      <name val="Symbol"/>
      <family val="1"/>
      <charset val="2"/>
    </font>
    <font>
      <sz val="8"/>
      <name val="Symbol"/>
      <family val="1"/>
      <charset val="2"/>
    </font>
    <font>
      <sz val="11"/>
      <color rgb="FF3F3F76"/>
      <name val="Calibri"/>
      <family val="2"/>
      <charset val="1"/>
    </font>
    <font>
      <b/>
      <sz val="10"/>
      <color rgb="FF3F3F76"/>
      <name val="Calibri"/>
      <family val="2"/>
      <charset val="1"/>
    </font>
    <font>
      <sz val="10"/>
      <color rgb="FF3F3F76"/>
      <name val="Calibri"/>
      <family val="2"/>
      <charset val="1"/>
    </font>
    <font>
      <sz val="10"/>
      <color rgb="FF000000"/>
      <name val="Tahoma"/>
      <family val="2"/>
      <charset val="1"/>
    </font>
    <font>
      <sz val="14"/>
      <name val="Arial"/>
      <family val="2"/>
      <charset val="1"/>
    </font>
    <font>
      <sz val="10"/>
      <color rgb="FF9C6500"/>
      <name val="Arial"/>
      <family val="2"/>
      <charset val="1"/>
    </font>
    <font>
      <sz val="9"/>
      <color rgb="FF000080"/>
      <name val="Arial"/>
      <family val="2"/>
      <charset val="1"/>
    </font>
    <font>
      <sz val="9"/>
      <name val="Arial"/>
      <family val="2"/>
      <charset val="1"/>
    </font>
    <font>
      <b/>
      <sz val="8"/>
      <color rgb="FFFA7D00"/>
      <name val="Arial"/>
      <family val="2"/>
      <charset val="1"/>
    </font>
    <font>
      <sz val="8"/>
      <color rgb="FFFA7D00"/>
      <name val="Arial"/>
      <family val="2"/>
      <charset val="1"/>
    </font>
    <font>
      <sz val="10"/>
      <color rgb="FFD9D9D9"/>
      <name val="Arial"/>
      <family val="2"/>
      <charset val="1"/>
    </font>
    <font>
      <b/>
      <sz val="9"/>
      <name val="Arial"/>
      <family val="2"/>
      <charset val="1"/>
    </font>
    <font>
      <sz val="8"/>
      <color rgb="FF77933C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DEADA"/>
      </patternFill>
    </fill>
    <fill>
      <patternFill patternType="solid">
        <fgColor rgb="FFFFFFFF"/>
        <bgColor rgb="FFF2F2F2"/>
      </patternFill>
    </fill>
    <fill>
      <patternFill patternType="solid">
        <fgColor rgb="FFC3D69B"/>
        <bgColor rgb="FFD7E4BD"/>
      </patternFill>
    </fill>
    <fill>
      <patternFill patternType="solid">
        <fgColor rgb="FFD7E4BD"/>
        <bgColor rgb="FFD9D9D9"/>
      </patternFill>
    </fill>
    <fill>
      <patternFill patternType="solid">
        <fgColor rgb="FFC0C0C0"/>
        <bgColor rgb="FFBFBFBF"/>
      </patternFill>
    </fill>
    <fill>
      <patternFill patternType="solid">
        <fgColor rgb="FF808080"/>
        <bgColor rgb="FF7F7F7F"/>
      </patternFill>
    </fill>
    <fill>
      <patternFill patternType="solid">
        <fgColor rgb="FFC6D9F1"/>
        <bgColor rgb="FFB9CDE5"/>
      </patternFill>
    </fill>
    <fill>
      <patternFill patternType="solid">
        <fgColor rgb="FFDCE6F2"/>
        <bgColor rgb="FFD9D9D9"/>
      </patternFill>
    </fill>
    <fill>
      <patternFill patternType="solid">
        <fgColor rgb="FF95B3D7"/>
        <bgColor rgb="FFA6A6A6"/>
      </patternFill>
    </fill>
    <fill>
      <patternFill patternType="solid">
        <fgColor rgb="FFD9D9D9"/>
        <bgColor rgb="FFD7E4BD"/>
      </patternFill>
    </fill>
    <fill>
      <patternFill patternType="solid">
        <fgColor rgb="FFBFBFBF"/>
        <bgColor rgb="FFC0C0C0"/>
      </patternFill>
    </fill>
    <fill>
      <patternFill patternType="solid">
        <fgColor rgb="FFA6A6A6"/>
        <bgColor rgb="FFA5A5A5"/>
      </patternFill>
    </fill>
    <fill>
      <patternFill patternType="solid">
        <fgColor rgb="FFB9CDE5"/>
        <bgColor rgb="FFC6D9F1"/>
      </patternFill>
    </fill>
    <fill>
      <patternFill patternType="solid">
        <fgColor rgb="FFFFFF00"/>
        <bgColor rgb="FFFFEB9C"/>
      </patternFill>
    </fill>
    <fill>
      <patternFill patternType="solid">
        <fgColor rgb="FFFAC090"/>
        <bgColor rgb="FFFFCC99"/>
      </patternFill>
    </fill>
    <fill>
      <patternFill patternType="solid">
        <fgColor rgb="FFF79646"/>
        <bgColor rgb="FFFA7D00"/>
      </patternFill>
    </fill>
    <fill>
      <patternFill patternType="solid">
        <fgColor rgb="FFFDEADA"/>
        <bgColor rgb="FFEBF1DE"/>
      </patternFill>
    </fill>
    <fill>
      <patternFill patternType="solid">
        <fgColor rgb="FFEBF1DE"/>
        <bgColor rgb="FFF2F2F2"/>
      </patternFill>
    </fill>
  </fills>
  <borders count="5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4">
    <xf numFmtId="0" fontId="0" fillId="0" borderId="0"/>
    <xf numFmtId="9" fontId="42" fillId="0" borderId="0" applyBorder="0" applyProtection="0"/>
    <xf numFmtId="0" fontId="4" fillId="0" borderId="0" applyBorder="0" applyProtection="0"/>
    <xf numFmtId="164" fontId="42" fillId="0" borderId="0" applyBorder="0" applyProtection="0"/>
    <xf numFmtId="0" fontId="1" fillId="0" borderId="0"/>
    <xf numFmtId="0" fontId="1" fillId="0" borderId="0"/>
    <xf numFmtId="0" fontId="2" fillId="0" borderId="0"/>
    <xf numFmtId="9" fontId="42" fillId="0" borderId="0" applyBorder="0" applyProtection="0"/>
    <xf numFmtId="9" fontId="42" fillId="0" borderId="0" applyBorder="0" applyProtection="0"/>
    <xf numFmtId="0" fontId="6" fillId="2" borderId="0" applyBorder="0" applyProtection="0"/>
    <xf numFmtId="0" fontId="12" fillId="3" borderId="1" applyProtection="0"/>
    <xf numFmtId="0" fontId="18" fillId="4" borderId="2" applyProtection="0"/>
    <xf numFmtId="0" fontId="28" fillId="5" borderId="1" applyProtection="0"/>
    <xf numFmtId="0" fontId="33" fillId="6" borderId="0" applyBorder="0" applyProtection="0"/>
  </cellStyleXfs>
  <cellXfs count="338">
    <xf numFmtId="0" fontId="0" fillId="0" borderId="0" xfId="0"/>
    <xf numFmtId="0" fontId="1" fillId="8" borderId="10" xfId="0" applyFont="1" applyFill="1" applyBorder="1" applyAlignment="1" applyProtection="1">
      <alignment horizontal="center"/>
      <protection locked="0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0" borderId="0" xfId="0" applyFont="1"/>
    <xf numFmtId="0" fontId="5" fillId="0" borderId="0" xfId="0" applyFont="1"/>
    <xf numFmtId="0" fontId="7" fillId="7" borderId="0" xfId="0" applyFont="1" applyFill="1"/>
    <xf numFmtId="0" fontId="0" fillId="7" borderId="0" xfId="0" applyFill="1"/>
    <xf numFmtId="0" fontId="1" fillId="7" borderId="0" xfId="0" applyFont="1" applyFill="1"/>
    <xf numFmtId="0" fontId="4" fillId="7" borderId="0" xfId="2" applyFill="1" applyBorder="1" applyProtection="1"/>
    <xf numFmtId="0" fontId="10" fillId="3" borderId="0" xfId="0" applyFont="1" applyFill="1" applyAlignment="1">
      <alignment horizontal="center"/>
    </xf>
    <xf numFmtId="0" fontId="11" fillId="7" borderId="0" xfId="0" applyFont="1" applyFill="1"/>
    <xf numFmtId="0" fontId="10" fillId="3" borderId="0" xfId="0" applyFont="1" applyFill="1" applyAlignment="1">
      <alignment horizontal="left"/>
    </xf>
    <xf numFmtId="0" fontId="10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1" fillId="7" borderId="0" xfId="0" applyFont="1" applyFill="1" applyAlignment="1">
      <alignment horizontal="left" indent="1"/>
    </xf>
    <xf numFmtId="0" fontId="1" fillId="7" borderId="0" xfId="0" applyFont="1" applyFill="1" applyAlignment="1">
      <alignment horizontal="right"/>
    </xf>
    <xf numFmtId="166" fontId="12" fillId="3" borderId="1" xfId="10" applyNumberFormat="1" applyAlignment="1" applyProtection="1">
      <alignment horizontal="center"/>
    </xf>
    <xf numFmtId="0" fontId="13" fillId="7" borderId="0" xfId="10" applyFont="1" applyFill="1" applyBorder="1" applyProtection="1"/>
    <xf numFmtId="0" fontId="5" fillId="7" borderId="0" xfId="0" applyFont="1" applyFill="1" applyAlignment="1">
      <alignment horizontal="center"/>
    </xf>
    <xf numFmtId="0" fontId="14" fillId="7" borderId="0" xfId="0" applyFont="1" applyFill="1" applyAlignment="1" applyProtection="1">
      <alignment horizontal="right"/>
      <protection locked="0"/>
    </xf>
    <xf numFmtId="0" fontId="16" fillId="9" borderId="3" xfId="0" applyFont="1" applyFill="1" applyBorder="1" applyAlignment="1" applyProtection="1">
      <alignment horizontal="center"/>
      <protection locked="0"/>
    </xf>
    <xf numFmtId="0" fontId="17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5" fillId="7" borderId="0" xfId="0" applyFont="1" applyFill="1" applyAlignment="1">
      <alignment horizontal="right" vertical="top" wrapText="1"/>
    </xf>
    <xf numFmtId="0" fontId="1" fillId="7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horizontal="left" indent="1"/>
    </xf>
    <xf numFmtId="0" fontId="16" fillId="7" borderId="0" xfId="0" applyFont="1" applyFill="1" applyAlignment="1">
      <alignment horizontal="right"/>
    </xf>
    <xf numFmtId="168" fontId="19" fillId="9" borderId="0" xfId="11" applyNumberFormat="1" applyFont="1" applyFill="1" applyBorder="1" applyAlignment="1" applyProtection="1">
      <alignment vertical="center"/>
    </xf>
    <xf numFmtId="0" fontId="16" fillId="7" borderId="0" xfId="0" applyFont="1" applyFill="1" applyAlignment="1">
      <alignment horizontal="right" vertical="center"/>
    </xf>
    <xf numFmtId="0" fontId="16" fillId="7" borderId="0" xfId="0" applyFont="1" applyFill="1" applyAlignment="1">
      <alignment horizontal="center"/>
    </xf>
    <xf numFmtId="169" fontId="19" fillId="7" borderId="0" xfId="11" applyNumberFormat="1" applyFont="1" applyFill="1" applyBorder="1" applyProtection="1"/>
    <xf numFmtId="0" fontId="5" fillId="7" borderId="12" xfId="0" applyFont="1" applyFill="1" applyBorder="1"/>
    <xf numFmtId="0" fontId="0" fillId="7" borderId="12" xfId="0" applyFill="1" applyBorder="1"/>
    <xf numFmtId="0" fontId="5" fillId="7" borderId="13" xfId="0" applyFont="1" applyFill="1" applyBorder="1"/>
    <xf numFmtId="0" fontId="5" fillId="7" borderId="14" xfId="0" applyFont="1" applyFill="1" applyBorder="1"/>
    <xf numFmtId="0" fontId="5" fillId="7" borderId="15" xfId="0" applyFont="1" applyFill="1" applyBorder="1" applyAlignment="1">
      <alignment horizontal="center"/>
    </xf>
    <xf numFmtId="0" fontId="1" fillId="7" borderId="0" xfId="0" applyFont="1" applyFill="1" applyAlignment="1">
      <alignment horizontal="left" vertical="center" indent="1"/>
    </xf>
    <xf numFmtId="0" fontId="1" fillId="10" borderId="16" xfId="0" applyFont="1" applyFill="1" applyBorder="1"/>
    <xf numFmtId="166" fontId="1" fillId="7" borderId="5" xfId="1" applyNumberFormat="1" applyFont="1" applyFill="1" applyBorder="1" applyAlignment="1" applyProtection="1">
      <alignment horizontal="center" vertical="center"/>
    </xf>
    <xf numFmtId="166" fontId="1" fillId="7" borderId="17" xfId="1" applyNumberFormat="1" applyFont="1" applyFill="1" applyBorder="1" applyAlignment="1" applyProtection="1">
      <alignment horizontal="center" vertical="center"/>
    </xf>
    <xf numFmtId="166" fontId="20" fillId="7" borderId="0" xfId="1" applyNumberFormat="1" applyFont="1" applyFill="1" applyBorder="1" applyAlignment="1" applyProtection="1">
      <alignment horizontal="center" vertical="center"/>
    </xf>
    <xf numFmtId="9" fontId="42" fillId="7" borderId="0" xfId="1" applyFill="1" applyBorder="1" applyAlignment="1" applyProtection="1">
      <alignment horizontal="center"/>
    </xf>
    <xf numFmtId="166" fontId="42" fillId="0" borderId="0" xfId="1" applyNumberFormat="1" applyBorder="1" applyProtection="1"/>
    <xf numFmtId="9" fontId="42" fillId="0" borderId="0" xfId="1" applyBorder="1" applyProtection="1"/>
    <xf numFmtId="9" fontId="0" fillId="0" borderId="0" xfId="0" applyNumberFormat="1"/>
    <xf numFmtId="166" fontId="1" fillId="0" borderId="0" xfId="1" applyNumberFormat="1" applyFont="1" applyBorder="1" applyAlignment="1" applyProtection="1">
      <alignment horizont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1" fillId="10" borderId="18" xfId="0" applyFont="1" applyFill="1" applyBorder="1"/>
    <xf numFmtId="166" fontId="1" fillId="7" borderId="20" xfId="1" applyNumberFormat="1" applyFont="1" applyFill="1" applyBorder="1" applyAlignment="1" applyProtection="1">
      <alignment horizontal="center" vertical="center"/>
    </xf>
    <xf numFmtId="166" fontId="1" fillId="7" borderId="21" xfId="1" applyNumberFormat="1" applyFont="1" applyFill="1" applyBorder="1" applyAlignment="1" applyProtection="1">
      <alignment horizontal="center" vertical="center"/>
    </xf>
    <xf numFmtId="0" fontId="5" fillId="7" borderId="0" xfId="0" applyFont="1" applyFill="1"/>
    <xf numFmtId="49" fontId="5" fillId="7" borderId="0" xfId="0" applyNumberFormat="1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49" fontId="1" fillId="7" borderId="0" xfId="0" applyNumberFormat="1" applyFont="1" applyFill="1" applyAlignment="1">
      <alignment horizontal="left" vertical="center"/>
    </xf>
    <xf numFmtId="9" fontId="21" fillId="7" borderId="0" xfId="0" applyNumberFormat="1" applyFont="1" applyFill="1" applyAlignment="1">
      <alignment horizontal="center"/>
    </xf>
    <xf numFmtId="0" fontId="0" fillId="7" borderId="22" xfId="0" applyFill="1" applyBorder="1"/>
    <xf numFmtId="0" fontId="0" fillId="7" borderId="23" xfId="0" applyFill="1" applyBorder="1"/>
    <xf numFmtId="9" fontId="21" fillId="7" borderId="23" xfId="0" applyNumberFormat="1" applyFont="1" applyFill="1" applyBorder="1" applyAlignment="1">
      <alignment horizontal="center"/>
    </xf>
    <xf numFmtId="9" fontId="21" fillId="7" borderId="24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right" vertical="center"/>
    </xf>
    <xf numFmtId="0" fontId="0" fillId="7" borderId="16" xfId="0" applyFill="1" applyBorder="1"/>
    <xf numFmtId="9" fontId="16" fillId="7" borderId="0" xfId="0" applyNumberFormat="1" applyFont="1" applyFill="1" applyAlignment="1">
      <alignment horizontal="right"/>
    </xf>
    <xf numFmtId="9" fontId="21" fillId="7" borderId="17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16" fillId="0" borderId="0" xfId="0" applyFont="1"/>
    <xf numFmtId="2" fontId="22" fillId="2" borderId="0" xfId="9" applyNumberFormat="1" applyFont="1" applyBorder="1" applyAlignment="1" applyProtection="1">
      <alignment horizontal="center" vertical="center"/>
    </xf>
    <xf numFmtId="166" fontId="22" fillId="0" borderId="0" xfId="9" applyNumberFormat="1" applyFont="1" applyFill="1" applyBorder="1" applyAlignment="1" applyProtection="1">
      <alignment horizontal="center" vertical="center"/>
    </xf>
    <xf numFmtId="166" fontId="22" fillId="2" borderId="0" xfId="9" applyNumberFormat="1" applyFont="1" applyBorder="1" applyAlignment="1" applyProtection="1">
      <alignment horizontal="center" vertical="center"/>
    </xf>
    <xf numFmtId="9" fontId="23" fillId="7" borderId="0" xfId="0" applyNumberFormat="1" applyFont="1" applyFill="1" applyAlignment="1">
      <alignment horizontal="right"/>
    </xf>
    <xf numFmtId="166" fontId="23" fillId="7" borderId="17" xfId="1" applyNumberFormat="1" applyFont="1" applyFill="1" applyBorder="1" applyAlignment="1" applyProtection="1">
      <alignment horizontal="center" vertical="center"/>
    </xf>
    <xf numFmtId="170" fontId="0" fillId="0" borderId="0" xfId="0" applyNumberFormat="1"/>
    <xf numFmtId="0" fontId="0" fillId="7" borderId="18" xfId="0" applyFill="1" applyBorder="1"/>
    <xf numFmtId="0" fontId="0" fillId="7" borderId="25" xfId="0" applyFill="1" applyBorder="1"/>
    <xf numFmtId="9" fontId="21" fillId="7" borderId="25" xfId="0" applyNumberFormat="1" applyFont="1" applyFill="1" applyBorder="1" applyAlignment="1">
      <alignment horizontal="center"/>
    </xf>
    <xf numFmtId="9" fontId="21" fillId="7" borderId="21" xfId="0" applyNumberFormat="1" applyFont="1" applyFill="1" applyBorder="1" applyAlignment="1">
      <alignment horizontal="center"/>
    </xf>
    <xf numFmtId="166" fontId="24" fillId="7" borderId="0" xfId="0" applyNumberFormat="1" applyFont="1" applyFill="1" applyAlignment="1">
      <alignment horizontal="center"/>
    </xf>
    <xf numFmtId="0" fontId="5" fillId="7" borderId="26" xfId="0" applyFont="1" applyFill="1" applyBorder="1" applyAlignment="1">
      <alignment vertical="center"/>
    </xf>
    <xf numFmtId="0" fontId="0" fillId="7" borderId="26" xfId="0" applyFill="1" applyBorder="1"/>
    <xf numFmtId="0" fontId="5" fillId="7" borderId="0" xfId="0" applyFont="1" applyFill="1" applyAlignment="1">
      <alignment horizontal="right" vertical="center" wrapText="1"/>
    </xf>
    <xf numFmtId="0" fontId="16" fillId="7" borderId="0" xfId="0" applyFont="1" applyFill="1" applyAlignment="1">
      <alignment horizontal="center" textRotation="90" wrapText="1"/>
    </xf>
    <xf numFmtId="0" fontId="0" fillId="7" borderId="0" xfId="0" applyFill="1" applyAlignment="1">
      <alignment horizontal="right"/>
    </xf>
    <xf numFmtId="0" fontId="25" fillId="0" borderId="0" xfId="0" applyFont="1"/>
    <xf numFmtId="0" fontId="16" fillId="0" borderId="0" xfId="0" applyFont="1" applyAlignment="1">
      <alignment horizontal="center" vertical="center"/>
    </xf>
    <xf numFmtId="12" fontId="16" fillId="0" borderId="28" xfId="0" applyNumberFormat="1" applyFont="1" applyBorder="1" applyAlignment="1">
      <alignment horizontal="center" vertical="center"/>
    </xf>
    <xf numFmtId="12" fontId="16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7" borderId="0" xfId="0" applyFont="1" applyFill="1" applyAlignment="1">
      <alignment horizontal="right" vertical="center" wrapText="1"/>
    </xf>
    <xf numFmtId="0" fontId="16" fillId="0" borderId="0" xfId="0" applyFont="1" applyAlignment="1">
      <alignment vertical="center"/>
    </xf>
    <xf numFmtId="12" fontId="16" fillId="11" borderId="0" xfId="0" applyNumberFormat="1" applyFont="1" applyFill="1" applyAlignment="1">
      <alignment horizontal="center" vertical="center"/>
    </xf>
    <xf numFmtId="12" fontId="16" fillId="0" borderId="9" xfId="0" applyNumberFormat="1" applyFont="1" applyBorder="1" applyAlignment="1">
      <alignment horizontal="center" vertical="center"/>
    </xf>
    <xf numFmtId="10" fontId="1" fillId="7" borderId="0" xfId="1" applyNumberFormat="1" applyFont="1" applyFill="1" applyBorder="1" applyAlignment="1" applyProtection="1">
      <alignment horizontal="center" vertical="center"/>
    </xf>
    <xf numFmtId="0" fontId="16" fillId="0" borderId="6" xfId="0" applyFont="1" applyBorder="1" applyAlignment="1">
      <alignment horizontal="center" vertical="center"/>
    </xf>
    <xf numFmtId="171" fontId="0" fillId="0" borderId="0" xfId="0" applyNumberFormat="1"/>
    <xf numFmtId="12" fontId="16" fillId="10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" fillId="7" borderId="0" xfId="0" applyFont="1" applyFill="1" applyAlignment="1">
      <alignment vertical="top"/>
    </xf>
    <xf numFmtId="166" fontId="16" fillId="11" borderId="0" xfId="1" applyNumberFormat="1" applyFont="1" applyFill="1" applyBorder="1" applyAlignment="1" applyProtection="1">
      <alignment horizontal="center" vertical="center"/>
    </xf>
    <xf numFmtId="166" fontId="16" fillId="0" borderId="9" xfId="1" applyNumberFormat="1" applyFont="1" applyBorder="1" applyAlignment="1" applyProtection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66" fontId="16" fillId="10" borderId="0" xfId="1" applyNumberFormat="1" applyFont="1" applyFill="1" applyBorder="1" applyAlignment="1" applyProtection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5" fillId="7" borderId="29" xfId="0" applyFont="1" applyFill="1" applyBorder="1"/>
    <xf numFmtId="0" fontId="0" fillId="0" borderId="30" xfId="0" applyBorder="1"/>
    <xf numFmtId="0" fontId="0" fillId="7" borderId="30" xfId="0" applyFill="1" applyBorder="1"/>
    <xf numFmtId="0" fontId="0" fillId="7" borderId="4" xfId="0" applyFill="1" applyBorder="1"/>
    <xf numFmtId="0" fontId="16" fillId="7" borderId="31" xfId="0" applyFont="1" applyFill="1" applyBorder="1" applyAlignment="1">
      <alignment horizontal="right"/>
    </xf>
    <xf numFmtId="0" fontId="12" fillId="7" borderId="1" xfId="10" applyFill="1" applyAlignment="1" applyProtection="1">
      <alignment horizontal="center"/>
    </xf>
    <xf numFmtId="0" fontId="26" fillId="7" borderId="0" xfId="0" applyFont="1" applyFill="1"/>
    <xf numFmtId="0" fontId="0" fillId="7" borderId="6" xfId="0" applyFill="1" applyBorder="1"/>
    <xf numFmtId="0" fontId="0" fillId="0" borderId="0" xfId="0" applyAlignment="1">
      <alignment horizontal="right"/>
    </xf>
    <xf numFmtId="12" fontId="0" fillId="0" borderId="0" xfId="0" applyNumberFormat="1"/>
    <xf numFmtId="0" fontId="1" fillId="0" borderId="0" xfId="0" applyFont="1" applyAlignment="1">
      <alignment horizontal="right"/>
    </xf>
    <xf numFmtId="0" fontId="5" fillId="7" borderId="31" xfId="0" applyFont="1" applyFill="1" applyBorder="1" applyAlignment="1">
      <alignment horizontal="right"/>
    </xf>
    <xf numFmtId="0" fontId="16" fillId="7" borderId="0" xfId="0" applyFont="1" applyFill="1"/>
    <xf numFmtId="9" fontId="16" fillId="12" borderId="0" xfId="1" applyFont="1" applyFill="1" applyBorder="1" applyAlignment="1" applyProtection="1">
      <alignment vertical="center"/>
    </xf>
    <xf numFmtId="170" fontId="16" fillId="0" borderId="0" xfId="0" applyNumberFormat="1" applyFont="1" applyAlignment="1">
      <alignment horizontal="center" vertical="center"/>
    </xf>
    <xf numFmtId="0" fontId="0" fillId="7" borderId="31" xfId="0" applyFill="1" applyBorder="1"/>
    <xf numFmtId="1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12" fillId="7" borderId="1" xfId="10" applyFill="1" applyProtection="1"/>
    <xf numFmtId="0" fontId="16" fillId="7" borderId="6" xfId="0" applyFont="1" applyFill="1" applyBorder="1" applyAlignment="1">
      <alignment horizontal="center"/>
    </xf>
    <xf numFmtId="0" fontId="16" fillId="12" borderId="0" xfId="1" applyNumberFormat="1" applyFont="1" applyFill="1" applyBorder="1" applyAlignment="1" applyProtection="1">
      <alignment vertical="center"/>
    </xf>
    <xf numFmtId="172" fontId="16" fillId="7" borderId="6" xfId="0" applyNumberFormat="1" applyFont="1" applyFill="1" applyBorder="1" applyAlignment="1">
      <alignment horizontal="center"/>
    </xf>
    <xf numFmtId="172" fontId="16" fillId="7" borderId="0" xfId="0" applyNumberFormat="1" applyFont="1" applyFill="1" applyAlignment="1">
      <alignment horizontal="center"/>
    </xf>
    <xf numFmtId="0" fontId="16" fillId="0" borderId="0" xfId="1" applyNumberFormat="1" applyFont="1" applyBorder="1" applyAlignment="1" applyProtection="1">
      <alignment vertical="center"/>
    </xf>
    <xf numFmtId="2" fontId="29" fillId="7" borderId="31" xfId="12" applyNumberFormat="1" applyFont="1" applyFill="1" applyBorder="1" applyAlignment="1" applyProtection="1">
      <alignment horizontal="right" vertical="center"/>
    </xf>
    <xf numFmtId="2" fontId="30" fillId="7" borderId="31" xfId="12" applyNumberFormat="1" applyFont="1" applyFill="1" applyBorder="1" applyAlignment="1" applyProtection="1">
      <alignment horizontal="right" vertical="center"/>
    </xf>
    <xf numFmtId="0" fontId="0" fillId="7" borderId="32" xfId="0" applyFill="1" applyBorder="1"/>
    <xf numFmtId="0" fontId="0" fillId="7" borderId="28" xfId="0" applyFill="1" applyBorder="1"/>
    <xf numFmtId="0" fontId="0" fillId="7" borderId="8" xfId="0" applyFill="1" applyBorder="1"/>
    <xf numFmtId="0" fontId="7" fillId="13" borderId="0" xfId="0" applyFont="1" applyFill="1"/>
    <xf numFmtId="0" fontId="0" fillId="13" borderId="0" xfId="0" applyFill="1"/>
    <xf numFmtId="0" fontId="32" fillId="13" borderId="0" xfId="0" applyFont="1" applyFill="1"/>
    <xf numFmtId="0" fontId="16" fillId="13" borderId="0" xfId="0" applyFont="1" applyFill="1" applyAlignment="1">
      <alignment horizontal="right" vertical="center"/>
    </xf>
    <xf numFmtId="1" fontId="16" fillId="13" borderId="0" xfId="0" applyNumberFormat="1" applyFont="1" applyFill="1" applyAlignment="1">
      <alignment horizontal="center" vertical="center"/>
    </xf>
    <xf numFmtId="0" fontId="16" fillId="13" borderId="0" xfId="13" applyFont="1" applyFill="1" applyBorder="1" applyAlignment="1" applyProtection="1">
      <alignment horizontal="center" vertical="center"/>
    </xf>
    <xf numFmtId="0" fontId="1" fillId="13" borderId="0" xfId="0" applyFont="1" applyFill="1"/>
    <xf numFmtId="0" fontId="0" fillId="7" borderId="0" xfId="0" applyFill="1" applyAlignment="1">
      <alignment vertical="top" wrapText="1"/>
    </xf>
    <xf numFmtId="0" fontId="16" fillId="14" borderId="22" xfId="0" applyFont="1" applyFill="1" applyBorder="1" applyAlignment="1">
      <alignment horizontal="center"/>
    </xf>
    <xf numFmtId="0" fontId="5" fillId="14" borderId="23" xfId="0" applyFont="1" applyFill="1" applyBorder="1" applyAlignment="1">
      <alignment horizontal="left"/>
    </xf>
    <xf numFmtId="0" fontId="0" fillId="14" borderId="23" xfId="0" applyFill="1" applyBorder="1"/>
    <xf numFmtId="0" fontId="0" fillId="14" borderId="33" xfId="0" applyFill="1" applyBorder="1"/>
    <xf numFmtId="0" fontId="5" fillId="14" borderId="23" xfId="0" applyFont="1" applyFill="1" applyBorder="1"/>
    <xf numFmtId="0" fontId="16" fillId="14" borderId="34" xfId="0" applyFont="1" applyFill="1" applyBorder="1" applyAlignment="1">
      <alignment horizontal="center"/>
    </xf>
    <xf numFmtId="0" fontId="1" fillId="14" borderId="15" xfId="0" applyFont="1" applyFill="1" applyBorder="1" applyAlignment="1">
      <alignment horizontal="center"/>
    </xf>
    <xf numFmtId="0" fontId="16" fillId="14" borderId="16" xfId="0" applyFont="1" applyFill="1" applyBorder="1" applyAlignment="1">
      <alignment horizontal="center"/>
    </xf>
    <xf numFmtId="0" fontId="16" fillId="7" borderId="0" xfId="0" applyFont="1" applyFill="1" applyAlignment="1">
      <alignment horizontal="left"/>
    </xf>
    <xf numFmtId="0" fontId="16" fillId="7" borderId="6" xfId="0" applyFont="1" applyFill="1" applyBorder="1" applyAlignment="1">
      <alignment horizontal="left"/>
    </xf>
    <xf numFmtId="166" fontId="34" fillId="5" borderId="0" xfId="1" applyNumberFormat="1" applyFont="1" applyFill="1" applyBorder="1" applyAlignment="1" applyProtection="1">
      <alignment horizontal="center"/>
    </xf>
    <xf numFmtId="166" fontId="35" fillId="7" borderId="17" xfId="1" applyNumberFormat="1" applyFont="1" applyFill="1" applyBorder="1" applyAlignment="1" applyProtection="1">
      <alignment horizontal="center"/>
    </xf>
    <xf numFmtId="0" fontId="16" fillId="14" borderId="18" xfId="0" applyFont="1" applyFill="1" applyBorder="1" applyAlignment="1">
      <alignment horizontal="center"/>
    </xf>
    <xf numFmtId="0" fontId="16" fillId="7" borderId="25" xfId="0" applyFont="1" applyFill="1" applyBorder="1" applyAlignment="1">
      <alignment horizontal="left"/>
    </xf>
    <xf numFmtId="0" fontId="16" fillId="7" borderId="19" xfId="0" applyFont="1" applyFill="1" applyBorder="1" applyAlignment="1">
      <alignment horizontal="left"/>
    </xf>
    <xf numFmtId="166" fontId="34" fillId="5" borderId="25" xfId="1" applyNumberFormat="1" applyFont="1" applyFill="1" applyBorder="1" applyAlignment="1" applyProtection="1">
      <alignment horizontal="center"/>
    </xf>
    <xf numFmtId="166" fontId="35" fillId="7" borderId="21" xfId="1" applyNumberFormat="1" applyFont="1" applyFill="1" applyBorder="1" applyAlignment="1" applyProtection="1">
      <alignment horizontal="center"/>
    </xf>
    <xf numFmtId="0" fontId="1" fillId="7" borderId="0" xfId="0" applyFont="1" applyFill="1" applyAlignment="1">
      <alignment horizontal="left"/>
    </xf>
    <xf numFmtId="166" fontId="42" fillId="7" borderId="0" xfId="1" applyNumberFormat="1" applyFill="1" applyBorder="1" applyProtection="1"/>
    <xf numFmtId="0" fontId="36" fillId="3" borderId="1" xfId="10" applyFont="1" applyAlignment="1" applyProtection="1">
      <alignment horizontal="center"/>
    </xf>
    <xf numFmtId="9" fontId="37" fillId="3" borderId="1" xfId="10" applyNumberFormat="1" applyFont="1" applyAlignment="1" applyProtection="1">
      <alignment horizontal="center"/>
    </xf>
    <xf numFmtId="0" fontId="38" fillId="7" borderId="0" xfId="0" applyFont="1" applyFill="1" applyAlignment="1">
      <alignment horizontal="center"/>
    </xf>
    <xf numFmtId="0" fontId="16" fillId="7" borderId="0" xfId="0" applyFont="1" applyFill="1" applyAlignment="1">
      <alignment horizontal="left" vertical="top"/>
    </xf>
    <xf numFmtId="0" fontId="16" fillId="7" borderId="0" xfId="0" applyFont="1" applyFill="1" applyAlignment="1">
      <alignment horizontal="right" vertical="top"/>
    </xf>
    <xf numFmtId="0" fontId="20" fillId="7" borderId="0" xfId="0" applyFont="1" applyFill="1"/>
    <xf numFmtId="0" fontId="12" fillId="3" borderId="22" xfId="10" applyBorder="1" applyProtection="1"/>
    <xf numFmtId="0" fontId="0" fillId="0" borderId="33" xfId="0" applyBorder="1"/>
    <xf numFmtId="0" fontId="5" fillId="0" borderId="23" xfId="0" applyFont="1" applyBorder="1" applyAlignment="1">
      <alignment horizontal="center"/>
    </xf>
    <xf numFmtId="0" fontId="1" fillId="0" borderId="23" xfId="0" applyFont="1" applyBorder="1"/>
    <xf numFmtId="0" fontId="0" fillId="0" borderId="23" xfId="0" applyBorder="1"/>
    <xf numFmtId="0" fontId="35" fillId="0" borderId="33" xfId="0" applyFont="1" applyBorder="1" applyAlignment="1">
      <alignment horizontal="right"/>
    </xf>
    <xf numFmtId="0" fontId="1" fillId="0" borderId="24" xfId="0" applyFont="1" applyBorder="1" applyAlignment="1">
      <alignment horizontal="center" wrapText="1"/>
    </xf>
    <xf numFmtId="0" fontId="23" fillId="7" borderId="0" xfId="0" applyFont="1" applyFill="1"/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35" fillId="15" borderId="37" xfId="0" applyFont="1" applyFill="1" applyBorder="1" applyAlignment="1">
      <alignment horizontal="left" vertical="center" textRotation="90"/>
    </xf>
    <xf numFmtId="0" fontId="39" fillId="0" borderId="19" xfId="0" applyFont="1" applyBorder="1" applyAlignment="1">
      <alignment horizontal="right"/>
    </xf>
    <xf numFmtId="0" fontId="39" fillId="0" borderId="21" xfId="0" applyFont="1" applyBorder="1" applyAlignment="1">
      <alignment horizontal="center"/>
    </xf>
    <xf numFmtId="0" fontId="23" fillId="7" borderId="0" xfId="0" applyFont="1" applyFill="1" applyAlignment="1">
      <alignment horizontal="right" vertical="center"/>
    </xf>
    <xf numFmtId="1" fontId="10" fillId="15" borderId="16" xfId="0" applyNumberFormat="1" applyFont="1" applyFill="1" applyBorder="1" applyAlignment="1">
      <alignment horizontal="center" vertical="center"/>
    </xf>
    <xf numFmtId="1" fontId="10" fillId="15" borderId="6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5" fillId="15" borderId="0" xfId="0" applyFont="1" applyFill="1" applyAlignment="1">
      <alignment horizontal="left" vertical="center" textRotation="90"/>
    </xf>
    <xf numFmtId="0" fontId="1" fillId="8" borderId="7" xfId="0" applyFont="1" applyFill="1" applyBorder="1" applyAlignment="1" applyProtection="1">
      <alignment horizontal="center"/>
      <protection locked="0"/>
    </xf>
    <xf numFmtId="0" fontId="1" fillId="8" borderId="38" xfId="0" applyFont="1" applyFill="1" applyBorder="1" applyAlignment="1" applyProtection="1">
      <alignment horizontal="center"/>
      <protection locked="0"/>
    </xf>
    <xf numFmtId="0" fontId="23" fillId="7" borderId="0" xfId="0" applyFont="1" applyFill="1" applyAlignment="1">
      <alignment horizontal="center" vertical="center"/>
    </xf>
    <xf numFmtId="2" fontId="40" fillId="7" borderId="0" xfId="0" applyNumberFormat="1" applyFont="1" applyFill="1" applyAlignment="1">
      <alignment horizontal="center" vertical="center"/>
    </xf>
    <xf numFmtId="2" fontId="23" fillId="7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" fillId="8" borderId="39" xfId="0" applyFont="1" applyFill="1" applyBorder="1" applyAlignment="1" applyProtection="1">
      <alignment horizontal="center"/>
      <protection locked="0"/>
    </xf>
    <xf numFmtId="0" fontId="10" fillId="15" borderId="40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35" fillId="15" borderId="28" xfId="0" applyFont="1" applyFill="1" applyBorder="1" applyAlignment="1">
      <alignment horizontal="left" vertical="center" textRotation="90"/>
    </xf>
    <xf numFmtId="0" fontId="0" fillId="8" borderId="39" xfId="0" applyFill="1" applyBorder="1" applyAlignment="1" applyProtection="1">
      <alignment horizontal="center"/>
      <protection locked="0"/>
    </xf>
    <xf numFmtId="0" fontId="1" fillId="15" borderId="0" xfId="0" applyFont="1" applyFill="1" applyAlignment="1">
      <alignment horizontal="left" vertical="center"/>
    </xf>
    <xf numFmtId="0" fontId="1" fillId="15" borderId="28" xfId="0" applyFont="1" applyFill="1" applyBorder="1" applyAlignment="1">
      <alignment horizontal="left" vertical="center"/>
    </xf>
    <xf numFmtId="0" fontId="10" fillId="15" borderId="18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left" vertical="center"/>
    </xf>
    <xf numFmtId="0" fontId="0" fillId="7" borderId="25" xfId="0" applyFill="1" applyBorder="1" applyAlignment="1">
      <alignment horizontal="center" vertical="center"/>
    </xf>
    <xf numFmtId="0" fontId="1" fillId="15" borderId="25" xfId="0" applyFont="1" applyFill="1" applyBorder="1" applyAlignment="1">
      <alignment horizontal="left" vertical="center"/>
    </xf>
    <xf numFmtId="0" fontId="1" fillId="8" borderId="41" xfId="0" applyFont="1" applyFill="1" applyBorder="1" applyAlignment="1" applyProtection="1">
      <alignment horizontal="center"/>
      <protection locked="0"/>
    </xf>
    <xf numFmtId="0" fontId="0" fillId="8" borderId="42" xfId="0" applyFill="1" applyBorder="1" applyAlignment="1" applyProtection="1">
      <alignment horizontal="center"/>
      <protection locked="0"/>
    </xf>
    <xf numFmtId="0" fontId="10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23" fillId="7" borderId="0" xfId="0" applyFont="1" applyFill="1" applyAlignment="1">
      <alignment horizontal="center"/>
    </xf>
    <xf numFmtId="0" fontId="0" fillId="7" borderId="0" xfId="0" applyFill="1" applyAlignment="1" applyProtection="1">
      <alignment horizontal="center"/>
      <protection locked="0"/>
    </xf>
    <xf numFmtId="0" fontId="3" fillId="7" borderId="29" xfId="0" applyFont="1" applyFill="1" applyBorder="1"/>
    <xf numFmtId="0" fontId="16" fillId="7" borderId="30" xfId="0" applyFont="1" applyFill="1" applyBorder="1" applyAlignment="1">
      <alignment horizontal="left" indent="1"/>
    </xf>
    <xf numFmtId="0" fontId="1" fillId="7" borderId="31" xfId="0" applyFont="1" applyFill="1" applyBorder="1"/>
    <xf numFmtId="0" fontId="25" fillId="7" borderId="0" xfId="0" applyFont="1" applyFill="1"/>
    <xf numFmtId="0" fontId="16" fillId="7" borderId="0" xfId="0" applyFont="1" applyFill="1" applyAlignment="1">
      <alignment horizontal="left" indent="1"/>
    </xf>
    <xf numFmtId="0" fontId="25" fillId="7" borderId="0" xfId="0" applyFont="1" applyFill="1" applyAlignment="1">
      <alignment horizontal="right"/>
    </xf>
    <xf numFmtId="0" fontId="25" fillId="7" borderId="0" xfId="0" applyFont="1" applyFill="1" applyAlignment="1">
      <alignment horizontal="left"/>
    </xf>
    <xf numFmtId="0" fontId="16" fillId="7" borderId="0" xfId="0" applyFont="1" applyFill="1" applyAlignment="1">
      <alignment horizontal="right" textRotation="90" wrapText="1"/>
    </xf>
    <xf numFmtId="0" fontId="16" fillId="7" borderId="6" xfId="0" applyFont="1" applyFill="1" applyBorder="1" applyAlignment="1">
      <alignment horizontal="right" textRotation="90" wrapText="1"/>
    </xf>
    <xf numFmtId="49" fontId="16" fillId="7" borderId="31" xfId="0" applyNumberFormat="1" applyFont="1" applyFill="1" applyBorder="1" applyAlignment="1">
      <alignment horizontal="center" vertical="center" wrapText="1"/>
    </xf>
    <xf numFmtId="0" fontId="25" fillId="1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31" xfId="0" applyFont="1" applyFill="1" applyBorder="1" applyAlignment="1">
      <alignment horizontal="center" vertical="center" wrapText="1"/>
    </xf>
    <xf numFmtId="12" fontId="5" fillId="0" borderId="0" xfId="0" applyNumberFormat="1" applyFont="1" applyAlignment="1">
      <alignment horizontal="center" vertical="center"/>
    </xf>
    <xf numFmtId="0" fontId="25" fillId="7" borderId="6" xfId="0" applyFont="1" applyFill="1" applyBorder="1"/>
    <xf numFmtId="166" fontId="16" fillId="7" borderId="0" xfId="1" applyNumberFormat="1" applyFont="1" applyFill="1" applyBorder="1" applyAlignment="1" applyProtection="1">
      <alignment horizontal="center" vertical="center"/>
    </xf>
    <xf numFmtId="9" fontId="16" fillId="7" borderId="0" xfId="1" applyFont="1" applyFill="1" applyBorder="1" applyAlignment="1" applyProtection="1">
      <alignment horizontal="center" vertical="center"/>
    </xf>
    <xf numFmtId="1" fontId="16" fillId="7" borderId="0" xfId="0" applyNumberFormat="1" applyFont="1" applyFill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166" fontId="16" fillId="7" borderId="0" xfId="1" applyNumberFormat="1" applyFont="1" applyFill="1" applyBorder="1" applyProtection="1"/>
    <xf numFmtId="0" fontId="16" fillId="15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0" fillId="0" borderId="31" xfId="0" applyBorder="1"/>
    <xf numFmtId="0" fontId="0" fillId="0" borderId="6" xfId="0" applyBorder="1"/>
    <xf numFmtId="0" fontId="16" fillId="7" borderId="28" xfId="0" applyFont="1" applyFill="1" applyBorder="1" applyAlignment="1">
      <alignment horizontal="center"/>
    </xf>
    <xf numFmtId="0" fontId="16" fillId="15" borderId="28" xfId="0" applyFont="1" applyFill="1" applyBorder="1" applyAlignment="1">
      <alignment horizontal="center"/>
    </xf>
    <xf numFmtId="0" fontId="16" fillId="17" borderId="28" xfId="0" applyFont="1" applyFill="1" applyBorder="1" applyAlignment="1">
      <alignment horizontal="center"/>
    </xf>
    <xf numFmtId="0" fontId="0" fillId="8" borderId="3" xfId="0" applyFill="1" applyBorder="1" applyAlignment="1" applyProtection="1">
      <alignment horizontal="center"/>
      <protection locked="0"/>
    </xf>
    <xf numFmtId="0" fontId="0" fillId="8" borderId="20" xfId="0" applyFill="1" applyBorder="1" applyAlignment="1" applyProtection="1">
      <alignment horizontal="center"/>
      <protection locked="0"/>
    </xf>
    <xf numFmtId="0" fontId="25" fillId="17" borderId="9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25" fillId="17" borderId="43" xfId="0" applyFont="1" applyFill="1" applyBorder="1" applyAlignment="1">
      <alignment horizontal="center" vertical="center"/>
    </xf>
    <xf numFmtId="0" fontId="16" fillId="7" borderId="44" xfId="0" applyFont="1" applyFill="1" applyBorder="1" applyAlignment="1">
      <alignment horizontal="center" vertical="center"/>
    </xf>
    <xf numFmtId="9" fontId="16" fillId="7" borderId="6" xfId="1" applyFont="1" applyFill="1" applyBorder="1" applyAlignment="1" applyProtection="1">
      <alignment horizontal="center" vertical="center"/>
    </xf>
    <xf numFmtId="166" fontId="16" fillId="7" borderId="6" xfId="1" applyNumberFormat="1" applyFont="1" applyFill="1" applyBorder="1" applyAlignment="1" applyProtection="1">
      <alignment horizontal="center" vertical="center"/>
    </xf>
    <xf numFmtId="0" fontId="0" fillId="0" borderId="17" xfId="0" applyBorder="1"/>
    <xf numFmtId="0" fontId="35" fillId="0" borderId="0" xfId="0" applyFont="1"/>
    <xf numFmtId="0" fontId="7" fillId="0" borderId="0" xfId="0" applyFont="1"/>
    <xf numFmtId="0" fontId="39" fillId="0" borderId="0" xfId="0" applyFont="1"/>
    <xf numFmtId="0" fontId="32" fillId="0" borderId="0" xfId="0" applyFont="1"/>
    <xf numFmtId="0" fontId="1" fillId="1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9" fillId="19" borderId="0" xfId="0" applyFont="1" applyFill="1"/>
    <xf numFmtId="0" fontId="5" fillId="0" borderId="0" xfId="0" applyFont="1" applyAlignment="1">
      <alignment horizontal="center"/>
    </xf>
    <xf numFmtId="0" fontId="35" fillId="21" borderId="0" xfId="0" applyFont="1" applyFill="1" applyAlignment="1">
      <alignment horizontal="center"/>
    </xf>
    <xf numFmtId="0" fontId="35" fillId="22" borderId="0" xfId="0" applyFont="1" applyFill="1"/>
    <xf numFmtId="0" fontId="35" fillId="19" borderId="0" xfId="0" applyFont="1" applyFill="1" applyAlignment="1">
      <alignment horizontal="right"/>
    </xf>
    <xf numFmtId="0" fontId="35" fillId="22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16" fillId="22" borderId="9" xfId="0" applyFont="1" applyFill="1" applyBorder="1" applyAlignment="1">
      <alignment horizontal="center" vertical="center"/>
    </xf>
    <xf numFmtId="12" fontId="25" fillId="17" borderId="9" xfId="0" applyNumberFormat="1" applyFont="1" applyFill="1" applyBorder="1" applyAlignment="1">
      <alignment vertical="center"/>
    </xf>
    <xf numFmtId="12" fontId="16" fillId="0" borderId="9" xfId="0" applyNumberFormat="1" applyFont="1" applyBorder="1" applyAlignment="1">
      <alignment vertical="center"/>
    </xf>
    <xf numFmtId="0" fontId="25" fillId="17" borderId="9" xfId="0" applyFont="1" applyFill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25" fillId="17" borderId="0" xfId="0" applyFont="1" applyFill="1" applyAlignment="1">
      <alignment horizontal="center" vertical="center"/>
    </xf>
    <xf numFmtId="0" fontId="2" fillId="0" borderId="0" xfId="6"/>
    <xf numFmtId="0" fontId="7" fillId="0" borderId="0" xfId="5" applyFont="1"/>
    <xf numFmtId="0" fontId="32" fillId="0" borderId="0" xfId="5" applyFont="1"/>
    <xf numFmtId="0" fontId="1" fillId="0" borderId="0" xfId="5"/>
    <xf numFmtId="0" fontId="5" fillId="13" borderId="0" xfId="5" applyFont="1" applyFill="1"/>
    <xf numFmtId="0" fontId="2" fillId="0" borderId="0" xfId="6" applyAlignment="1">
      <alignment horizontal="right"/>
    </xf>
    <xf numFmtId="0" fontId="41" fillId="0" borderId="0" xfId="6" applyFont="1"/>
    <xf numFmtId="0" fontId="2" fillId="0" borderId="0" xfId="6" applyAlignment="1">
      <alignment horizontal="center"/>
    </xf>
    <xf numFmtId="164" fontId="2" fillId="16" borderId="0" xfId="6" applyNumberFormat="1" applyFill="1"/>
    <xf numFmtId="164" fontId="2" fillId="15" borderId="0" xfId="6" applyNumberFormat="1" applyFill="1"/>
    <xf numFmtId="164" fontId="42" fillId="0" borderId="0" xfId="3" applyBorder="1" applyProtection="1"/>
    <xf numFmtId="166" fontId="42" fillId="0" borderId="0" xfId="8" applyNumberFormat="1" applyBorder="1" applyProtection="1"/>
    <xf numFmtId="10" fontId="42" fillId="0" borderId="0" xfId="8" applyNumberFormat="1" applyBorder="1" applyProtection="1"/>
    <xf numFmtId="173" fontId="2" fillId="9" borderId="0" xfId="6" applyNumberFormat="1" applyFill="1"/>
    <xf numFmtId="0" fontId="2" fillId="9" borderId="0" xfId="6" applyFill="1"/>
    <xf numFmtId="0" fontId="2" fillId="9" borderId="45" xfId="6" applyFill="1" applyBorder="1"/>
    <xf numFmtId="0" fontId="2" fillId="9" borderId="46" xfId="6" applyFill="1" applyBorder="1"/>
    <xf numFmtId="0" fontId="41" fillId="0" borderId="0" xfId="6" applyFont="1" applyAlignment="1">
      <alignment horizontal="right"/>
    </xf>
    <xf numFmtId="0" fontId="2" fillId="0" borderId="47" xfId="6" applyBorder="1"/>
    <xf numFmtId="0" fontId="41" fillId="20" borderId="48" xfId="6" applyFont="1" applyFill="1" applyBorder="1"/>
    <xf numFmtId="0" fontId="41" fillId="20" borderId="49" xfId="6" applyFont="1" applyFill="1" applyBorder="1"/>
    <xf numFmtId="169" fontId="2" fillId="13" borderId="0" xfId="6" applyNumberFormat="1" applyFill="1"/>
    <xf numFmtId="0" fontId="2" fillId="23" borderId="0" xfId="6" applyFill="1"/>
    <xf numFmtId="0" fontId="2" fillId="3" borderId="0" xfId="6" applyFill="1"/>
    <xf numFmtId="169" fontId="2" fillId="0" borderId="0" xfId="6" applyNumberFormat="1"/>
    <xf numFmtId="2" fontId="2" fillId="3" borderId="0" xfId="6" applyNumberFormat="1" applyFill="1"/>
    <xf numFmtId="170" fontId="12" fillId="3" borderId="0" xfId="10" applyNumberFormat="1" applyBorder="1" applyAlignment="1" applyProtection="1">
      <alignment horizontal="center"/>
    </xf>
    <xf numFmtId="0" fontId="5" fillId="7" borderId="27" xfId="0" applyFont="1" applyFill="1" applyBorder="1" applyAlignment="1">
      <alignment horizontal="right" wrapText="1"/>
    </xf>
    <xf numFmtId="49" fontId="1" fillId="9" borderId="6" xfId="0" applyNumberFormat="1" applyFont="1" applyFill="1" applyBorder="1" applyAlignment="1" applyProtection="1">
      <alignment horizontal="left" vertical="center"/>
      <protection locked="0"/>
    </xf>
    <xf numFmtId="0" fontId="1" fillId="9" borderId="5" xfId="0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0" fontId="16" fillId="3" borderId="5" xfId="0" applyFont="1" applyFill="1" applyBorder="1" applyAlignment="1" applyProtection="1">
      <alignment horizontal="left" vertical="center"/>
      <protection locked="0"/>
    </xf>
    <xf numFmtId="49" fontId="1" fillId="3" borderId="19" xfId="0" applyNumberFormat="1" applyFont="1" applyFill="1" applyBorder="1" applyAlignment="1" applyProtection="1">
      <alignment horizontal="left" vertical="center"/>
      <protection locked="0"/>
    </xf>
    <xf numFmtId="0" fontId="16" fillId="3" borderId="20" xfId="0" applyFont="1" applyFill="1" applyBorder="1" applyAlignment="1" applyProtection="1">
      <alignment horizontal="left" vertical="center"/>
      <protection locked="0"/>
    </xf>
    <xf numFmtId="0" fontId="1" fillId="9" borderId="3" xfId="0" applyFont="1" applyFill="1" applyBorder="1" applyAlignment="1" applyProtection="1">
      <alignment horizontal="left" vertical="top" wrapText="1"/>
      <protection locked="0"/>
    </xf>
    <xf numFmtId="167" fontId="1" fillId="9" borderId="3" xfId="0" applyNumberFormat="1" applyFont="1" applyFill="1" applyBorder="1" applyAlignment="1" applyProtection="1">
      <alignment horizontal="center" vertical="top" wrapText="1"/>
      <protection locked="0"/>
    </xf>
    <xf numFmtId="0" fontId="5" fillId="7" borderId="11" xfId="0" applyFont="1" applyFill="1" applyBorder="1" applyAlignment="1">
      <alignment horizontal="center"/>
    </xf>
    <xf numFmtId="49" fontId="1" fillId="9" borderId="4" xfId="0" applyNumberFormat="1" applyFont="1" applyFill="1" applyBorder="1" applyAlignment="1" applyProtection="1">
      <alignment horizontal="left" vertical="center"/>
      <protection locked="0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8" borderId="10" xfId="0" applyFont="1" applyFill="1" applyBorder="1" applyAlignment="1" applyProtection="1">
      <alignment horizontal="center"/>
      <protection locked="0"/>
    </xf>
    <xf numFmtId="0" fontId="12" fillId="3" borderId="1" xfId="10" applyProtection="1"/>
    <xf numFmtId="0" fontId="16" fillId="0" borderId="3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5" fillId="0" borderId="3" xfId="0" applyFont="1" applyBorder="1" applyAlignment="1">
      <alignment vertical="center" wrapText="1"/>
    </xf>
    <xf numFmtId="0" fontId="39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7" borderId="19" xfId="0" applyFont="1" applyFill="1" applyBorder="1" applyAlignment="1">
      <alignment horizontal="left"/>
    </xf>
    <xf numFmtId="0" fontId="1" fillId="8" borderId="10" xfId="0" applyFont="1" applyFill="1" applyBorder="1" applyAlignment="1" applyProtection="1">
      <alignment horizontal="left"/>
      <protection locked="0"/>
    </xf>
    <xf numFmtId="165" fontId="1" fillId="8" borderId="10" xfId="0" applyNumberFormat="1" applyFont="1" applyFill="1" applyBorder="1" applyProtection="1">
      <protection locked="0"/>
    </xf>
    <xf numFmtId="0" fontId="5" fillId="0" borderId="37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" fillId="7" borderId="6" xfId="0" applyFont="1" applyFill="1" applyBorder="1" applyAlignment="1">
      <alignment horizontal="left"/>
    </xf>
    <xf numFmtId="0" fontId="16" fillId="7" borderId="0" xfId="0" applyFont="1" applyFill="1" applyAlignment="1">
      <alignment vertical="top" wrapText="1"/>
    </xf>
    <xf numFmtId="0" fontId="5" fillId="7" borderId="0" xfId="0" applyFont="1" applyFill="1" applyAlignment="1">
      <alignment wrapText="1"/>
    </xf>
    <xf numFmtId="165" fontId="35" fillId="20" borderId="0" xfId="0" applyNumberFormat="1" applyFont="1" applyFill="1"/>
    <xf numFmtId="0" fontId="35" fillId="20" borderId="0" xfId="0" applyFont="1" applyFill="1"/>
    <xf numFmtId="0" fontId="39" fillId="19" borderId="0" xfId="0" applyFont="1" applyFill="1"/>
  </cellXfs>
  <cellStyles count="14">
    <cellStyle name="Comma 2" xfId="3" xr:uid="{00000000-0005-0000-0000-000006000000}"/>
    <cellStyle name="Excel Built-in Calculation" xfId="10" xr:uid="{00000000-0005-0000-0000-00000E000000}"/>
    <cellStyle name="Excel Built-in Check Cell" xfId="11" xr:uid="{00000000-0005-0000-0000-00000F000000}"/>
    <cellStyle name="Excel Built-in Good" xfId="9" xr:uid="{00000000-0005-0000-0000-00000D000000}"/>
    <cellStyle name="Excel Built-in Input" xfId="12" xr:uid="{00000000-0005-0000-0000-000010000000}"/>
    <cellStyle name="Excel Built-in Neutral" xfId="13" xr:uid="{00000000-0005-0000-0000-000011000000}"/>
    <cellStyle name="Hyperlink" xfId="2" builtinId="8"/>
    <cellStyle name="Normal" xfId="0" builtinId="0"/>
    <cellStyle name="Normal 2" xfId="4" xr:uid="{00000000-0005-0000-0000-000007000000}"/>
    <cellStyle name="Normal 2 2" xfId="5" xr:uid="{00000000-0005-0000-0000-000008000000}"/>
    <cellStyle name="Normal 3" xfId="6" xr:uid="{00000000-0005-0000-0000-000009000000}"/>
    <cellStyle name="Percent" xfId="1" builtinId="5"/>
    <cellStyle name="Percent 2" xfId="7" xr:uid="{00000000-0005-0000-0000-00000A000000}"/>
    <cellStyle name="Percent 3" xfId="8" xr:uid="{00000000-0005-0000-0000-00000B000000}"/>
  </cellStyles>
  <dxfs count="466"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numFmt numFmtId="174" formatCode="_(* #,##0_);_(* \(#,##0\);_(* \-_);_(@_)"/>
      <fill>
        <patternFill>
          <bgColor rgb="FFFFFFFF"/>
        </patternFill>
      </fill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numFmt numFmtId="174" formatCode="_(* #,##0_);_(* \(#,##0\);_(* \-_);_(@_)"/>
    </dxf>
    <dxf>
      <numFmt numFmtId="174" formatCode="_(* #,##0_);_(* \(#,##0\);_(* \-_);_(@_)"/>
    </dxf>
    <dxf>
      <numFmt numFmtId="174" formatCode="_(* #,##0_);_(* \(#,##0\);_(* \-_);_(@_)"/>
    </dxf>
    <dxf>
      <numFmt numFmtId="174" formatCode="_(* #,##0_);_(* \(#,##0\);_(* \-_);_(@_)"/>
    </dxf>
    <dxf>
      <font>
        <b val="0"/>
        <i val="0"/>
        <color rgb="FFD9D9D9"/>
      </font>
    </dxf>
    <dxf>
      <font>
        <b val="0"/>
        <i val="0"/>
        <color rgb="FFD9D9D9"/>
      </font>
    </dxf>
    <dxf>
      <font>
        <color rgb="FFFFFFFF"/>
      </font>
      <fill>
        <patternFill>
          <bgColor rgb="FFFFFFFF"/>
        </patternFill>
      </fill>
    </dxf>
    <dxf>
      <font>
        <b val="0"/>
        <i val="0"/>
        <color rgb="FFD9D9D9"/>
      </font>
    </dxf>
    <dxf>
      <font>
        <color rgb="FFFFFFFF"/>
      </font>
      <fill>
        <patternFill>
          <bgColor rgb="FFC0504D"/>
        </patternFill>
      </fill>
    </dxf>
    <dxf>
      <font>
        <color rgb="FFFFCC99"/>
      </font>
      <fill>
        <patternFill>
          <bgColor rgb="FFFFCC99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D7E4BD"/>
        </patternFill>
      </fill>
    </dxf>
    <dxf>
      <fill>
        <patternFill>
          <bgColor rgb="FFFFFFFF"/>
        </patternFill>
      </fill>
    </dxf>
    <dxf>
      <fill>
        <patternFill>
          <bgColor rgb="FFF79646"/>
        </patternFill>
      </fill>
    </dxf>
    <dxf>
      <font>
        <color rgb="FF000000"/>
      </font>
      <fill>
        <patternFill>
          <bgColor rgb="FFF2DCDB"/>
        </patternFill>
      </fill>
    </dxf>
    <dxf>
      <fill>
        <patternFill>
          <bgColor rgb="FFFFFFFF"/>
        </patternFill>
      </fill>
    </dxf>
    <dxf>
      <numFmt numFmtId="174" formatCode="_(* #,##0_);_(* \(#,##0\);_(* \-_);_(@_)"/>
    </dxf>
    <dxf>
      <numFmt numFmtId="174" formatCode="_(* #,##0_);_(* \(#,##0\);_(* \-_);_(@_)"/>
    </dxf>
    <dxf>
      <font>
        <color rgb="FFFFFFFF"/>
      </font>
      <fill>
        <patternFill>
          <bgColor rgb="FFFFFFFF"/>
        </patternFill>
      </fill>
    </dxf>
    <dxf>
      <numFmt numFmtId="174" formatCode="_(* #,##0_);_(* \(#,##0\);_(* \-_);_(@_)"/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DEADA"/>
      <rgbColor rgb="FF0000FF"/>
      <rgbColor rgb="FFFFFF00"/>
      <rgbColor rgb="FFFFC7CE"/>
      <rgbColor rgb="FFD7E4BD"/>
      <rgbColor rgb="FF9C0006"/>
      <rgbColor rgb="FF006100"/>
      <rgbColor rgb="FF000080"/>
      <rgbColor rgb="FF77933C"/>
      <rgbColor rgb="FF800080"/>
      <rgbColor rgb="FF7F7F7F"/>
      <rgbColor rgb="FFC0C0C0"/>
      <rgbColor rgb="FF808080"/>
      <rgbColor rgb="FF95B3D7"/>
      <rgbColor rgb="FF953735"/>
      <rgbColor rgb="FFEBF1DE"/>
      <rgbColor rgb="FFDCE6F2"/>
      <rgbColor rgb="FF660066"/>
      <rgbColor rgb="FFD99694"/>
      <rgbColor rgb="FF0066CC"/>
      <rgbColor rgb="FFC6D9F1"/>
      <rgbColor rgb="FF000080"/>
      <rgbColor rgb="FFFF00FF"/>
      <rgbColor rgb="FFC3D69B"/>
      <rgbColor rgb="FFF2DCDB"/>
      <rgbColor rgb="FF800080"/>
      <rgbColor rgb="FF800000"/>
      <rgbColor rgb="FFA6A6A6"/>
      <rgbColor rgb="FF0000FF"/>
      <rgbColor rgb="FFD9D9D9"/>
      <rgbColor rgb="FFF2F2F2"/>
      <rgbColor rgb="FFC6EFCE"/>
      <rgbColor rgb="FFFFEB9C"/>
      <rgbColor rgb="FFB9CDE5"/>
      <rgbColor rgb="FFE6B9B8"/>
      <rgbColor rgb="FFBFBFBF"/>
      <rgbColor rgb="FFFFCC99"/>
      <rgbColor rgb="FF4A7EBB"/>
      <rgbColor rgb="FFA5A5A5"/>
      <rgbColor rgb="FF92D050"/>
      <rgbColor rgb="FFFAC090"/>
      <rgbColor rgb="FFF79646"/>
      <rgbColor rgb="FFFA7D00"/>
      <rgbColor rgb="FF595959"/>
      <rgbColor rgb="FF878787"/>
      <rgbColor rgb="FF1F497D"/>
      <rgbColor rgb="FF4F81BD"/>
      <rgbColor rgb="FF003300"/>
      <rgbColor rgb="FF333300"/>
      <rgbColor rgb="FF9C6500"/>
      <rgbColor rgb="FFC0504D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Summary!$P$18:$P$27</c:f>
                <c:numCache>
                  <c:formatCode>General</c:formatCode>
                  <c:ptCount val="10"/>
                  <c:pt idx="0">
                    <c:v>3.2454462569227731E-2</c:v>
                  </c:pt>
                  <c:pt idx="1">
                    <c:v>1.988330946603933E-2</c:v>
                  </c:pt>
                  <c:pt idx="2">
                    <c:v>3.5693872859299633E-2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Summary!$P$18:$P$27</c:f>
                <c:numCache>
                  <c:formatCode>General</c:formatCode>
                  <c:ptCount val="10"/>
                  <c:pt idx="0">
                    <c:v>3.2454462569227731E-2</c:v>
                  </c:pt>
                  <c:pt idx="1">
                    <c:v>1.988330946603933E-2</c:v>
                  </c:pt>
                  <c:pt idx="2">
                    <c:v>3.5693872859299633E-2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9080">
                <a:solidFill>
                  <a:srgbClr val="595959"/>
                </a:solidFill>
                <a:round/>
              </a:ln>
            </c:spPr>
          </c:errBars>
          <c:cat>
            <c:strRef>
              <c:f>Summary!$C$18:$E$27</c:f>
              <c:strCache>
                <c:ptCount val="3"/>
                <c:pt idx="0">
                  <c:v>Conventional Cashier</c:v>
                </c:pt>
                <c:pt idx="1">
                  <c:v>Self-Checkout</c:v>
                </c:pt>
                <c:pt idx="2">
                  <c:v>Unmanned Shop</c:v>
                </c:pt>
              </c:strCache>
            </c:strRef>
          </c:cat>
          <c:val>
            <c:numRef>
              <c:f>Summary!$O$18:$O$27</c:f>
              <c:numCache>
                <c:formatCode>0.0%</c:formatCode>
                <c:ptCount val="10"/>
                <c:pt idx="0">
                  <c:v>0.36866813748253358</c:v>
                </c:pt>
                <c:pt idx="1">
                  <c:v>0.22586547696475914</c:v>
                </c:pt>
                <c:pt idx="2">
                  <c:v>0.40546638535476737</c:v>
                </c:pt>
                <c:pt idx="3">
                  <c:v>2.8277088936873212E-11</c:v>
                </c:pt>
                <c:pt idx="4">
                  <c:v>2.8277088936873212E-11</c:v>
                </c:pt>
                <c:pt idx="5">
                  <c:v>2.8277088936873212E-11</c:v>
                </c:pt>
                <c:pt idx="6">
                  <c:v>2.8277088936873212E-11</c:v>
                </c:pt>
                <c:pt idx="7">
                  <c:v>2.8277088936873212E-11</c:v>
                </c:pt>
                <c:pt idx="8">
                  <c:v>2.8277088936873212E-11</c:v>
                </c:pt>
                <c:pt idx="9">
                  <c:v>2.8277088936873212E-11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5-4390-84B9-53EA38674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29438"/>
        <c:axId val="66688200"/>
      </c:barChart>
      <c:catAx>
        <c:axId val="56629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688200"/>
        <c:crosses val="autoZero"/>
        <c:auto val="1"/>
        <c:lblAlgn val="ctr"/>
        <c:lblOffset val="100"/>
        <c:noMultiLvlLbl val="0"/>
      </c:catAx>
      <c:valAx>
        <c:axId val="66688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662943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"/>
              </a:rPr>
              <a:t>Convergence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'10x10'!$N$39:$AG$39</c:f>
              <c:numCache>
                <c:formatCode>General</c:formatCode>
                <c:ptCount val="1"/>
                <c:pt idx="0">
                  <c:v>7.8052573520971454E-20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9-4EA8-9110-A6F4B79B0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527592"/>
        <c:axId val="77628938"/>
      </c:lineChart>
      <c:catAx>
        <c:axId val="3527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SG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SG" sz="1000" b="1" strike="noStrike" spc="-1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28938"/>
        <c:crosses val="autoZero"/>
        <c:auto val="1"/>
        <c:lblAlgn val="ctr"/>
        <c:lblOffset val="100"/>
        <c:noMultiLvlLbl val="0"/>
      </c:catAx>
      <c:valAx>
        <c:axId val="77628938"/>
        <c:scaling>
          <c:logBase val="10"/>
          <c:orientation val="minMax"/>
          <c:max val="0.01"/>
          <c:min val="9.9999999999999998E-1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7592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29160</xdr:colOff>
      <xdr:row>37</xdr:row>
      <xdr:rowOff>28080</xdr:rowOff>
    </xdr:from>
    <xdr:to>
      <xdr:col>12</xdr:col>
      <xdr:colOff>73440</xdr:colOff>
      <xdr:row>106</xdr:row>
      <xdr:rowOff>47520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10800" y="5968440"/>
          <a:ext cx="44280" cy="25722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48240</xdr:colOff>
      <xdr:row>36</xdr:row>
      <xdr:rowOff>113760</xdr:rowOff>
    </xdr:from>
    <xdr:to>
      <xdr:col>1</xdr:col>
      <xdr:colOff>113400</xdr:colOff>
      <xdr:row>106</xdr:row>
      <xdr:rowOff>27000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12800" y="5892120"/>
          <a:ext cx="65160" cy="262800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28440</xdr:colOff>
      <xdr:row>37</xdr:row>
      <xdr:rowOff>28080</xdr:rowOff>
    </xdr:from>
    <xdr:to>
      <xdr:col>13</xdr:col>
      <xdr:colOff>93600</xdr:colOff>
      <xdr:row>106</xdr:row>
      <xdr:rowOff>17280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83840" y="5968440"/>
          <a:ext cx="65160" cy="2541960"/>
        </a:xfrm>
        <a:prstGeom prst="leftBracket">
          <a:avLst>
            <a:gd name="adj" fmla="val 361111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</xdr:col>
      <xdr:colOff>415800</xdr:colOff>
      <xdr:row>36</xdr:row>
      <xdr:rowOff>151560</xdr:rowOff>
    </xdr:from>
    <xdr:to>
      <xdr:col>14</xdr:col>
      <xdr:colOff>503280</xdr:colOff>
      <xdr:row>46</xdr:row>
      <xdr:rowOff>236520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71640" y="5929920"/>
          <a:ext cx="87480" cy="2544120"/>
        </a:xfrm>
        <a:prstGeom prst="rightBracket">
          <a:avLst>
            <a:gd name="adj" fmla="val 175925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314280</xdr:colOff>
      <xdr:row>106</xdr:row>
      <xdr:rowOff>-360</xdr:rowOff>
    </xdr:from>
    <xdr:to>
      <xdr:col>12</xdr:col>
      <xdr:colOff>18360</xdr:colOff>
      <xdr:row>106</xdr:row>
      <xdr:rowOff>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433400" y="8492760"/>
          <a:ext cx="6660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106</xdr:row>
      <xdr:rowOff>-360</xdr:rowOff>
    </xdr:from>
    <xdr:to>
      <xdr:col>12</xdr:col>
      <xdr:colOff>46800</xdr:colOff>
      <xdr:row>106</xdr:row>
      <xdr:rowOff>102960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452480" y="8492760"/>
          <a:ext cx="75960" cy="10332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162720</xdr:colOff>
      <xdr:row>106</xdr:row>
      <xdr:rowOff>-360</xdr:rowOff>
    </xdr:from>
    <xdr:to>
      <xdr:col>2</xdr:col>
      <xdr:colOff>47160</xdr:colOff>
      <xdr:row>106</xdr:row>
      <xdr:rowOff>131400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27280" y="8492760"/>
          <a:ext cx="75600" cy="13176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172080</xdr:colOff>
      <xdr:row>106</xdr:row>
      <xdr:rowOff>-360</xdr:rowOff>
    </xdr:from>
    <xdr:to>
      <xdr:col>2</xdr:col>
      <xdr:colOff>37440</xdr:colOff>
      <xdr:row>106</xdr:row>
      <xdr:rowOff>112680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36640" y="8492760"/>
          <a:ext cx="56520" cy="11304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720</xdr:colOff>
      <xdr:row>106</xdr:row>
      <xdr:rowOff>-360</xdr:rowOff>
    </xdr:from>
    <xdr:to>
      <xdr:col>12</xdr:col>
      <xdr:colOff>75600</xdr:colOff>
      <xdr:row>107</xdr:row>
      <xdr:rowOff>55800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482360" y="8492760"/>
          <a:ext cx="74880" cy="2178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29</xdr:col>
      <xdr:colOff>115200</xdr:colOff>
      <xdr:row>7</xdr:row>
      <xdr:rowOff>21240</xdr:rowOff>
    </xdr:from>
    <xdr:to>
      <xdr:col>38</xdr:col>
      <xdr:colOff>530640</xdr:colOff>
      <xdr:row>33</xdr:row>
      <xdr:rowOff>13680</xdr:rowOff>
    </xdr:to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4320</xdr:rowOff>
    </xdr:from>
    <xdr:to>
      <xdr:col>12</xdr:col>
      <xdr:colOff>16560</xdr:colOff>
      <xdr:row>133</xdr:row>
      <xdr:rowOff>136080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372560" y="204364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132</xdr:row>
      <xdr:rowOff>156960</xdr:rowOff>
    </xdr:from>
    <xdr:to>
      <xdr:col>2</xdr:col>
      <xdr:colOff>93960</xdr:colOff>
      <xdr:row>133</xdr:row>
      <xdr:rowOff>145800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464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132</xdr:row>
      <xdr:rowOff>156960</xdr:rowOff>
    </xdr:from>
    <xdr:to>
      <xdr:col>11</xdr:col>
      <xdr:colOff>377640</xdr:colOff>
      <xdr:row>133</xdr:row>
      <xdr:rowOff>126720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353480" y="204271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" name="CustomShape 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7" name="CustomShape 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1" name="CustomShape 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" name="CustomShape 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" name="CustomShape 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86" name="CustomShape 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4372560" y="84027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7" name="CustomShape 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40464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4353480" y="83934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8" name="CustomShape 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9" name="CustomShape 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1" name="CustomShape 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2" name="CustomShape 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3" name="CustomShape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4" name="CustomShape 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35" name="CustomShape 1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36" name="CustomShape 1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7" name="CustomShape 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8" name="CustomShape 1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9" name="CustomShape 1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0" name="CustomShape 1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71" name="CustomShape 1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72" name="CustomShape 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3" name="CustomShape 1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4" name="CustomShape 1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5" name="CustomShape 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6" name="CustomShape 1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7" name="CustomShape 1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8" name="CustomShape 1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13" name="CustomShape 1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14" name="CustomShape 1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15" name="CustomShape 1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19" name="CustomShape 1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20" name="CustomShape 1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1" name="CustomShape 1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2" name="CustomShape 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6" name="CustomShape 1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7" name="CustomShape 1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3" name="CustomShape 1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4" name="CustomShape 1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8" name="CustomShape 1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9" name="CustomShape 1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55" name="CustomShape 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56" name="CustomShape 1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60" name="CustomShape 1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61" name="CustomShape 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7" name="CustomShape 1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8" name="CustomShape 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2" name="CustomShape 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3" name="CustomShape 1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9" name="CustomShape 1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0" name="CustomShape 1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4" name="CustomShape 1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5" name="CustomShape 1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1" name="CustomShape 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2" name="CustomShape 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6" name="CustomShape 1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98" name="CustomShape 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99" name="CustomShape 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00" name="CustomShape 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01" name="CustomShape 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02" name="CustomShape 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03" name="CustomShape 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152640</xdr:colOff>
      <xdr:row>133</xdr:row>
      <xdr:rowOff>360</xdr:rowOff>
    </xdr:from>
    <xdr:to>
      <xdr:col>2</xdr:col>
      <xdr:colOff>74880</xdr:colOff>
      <xdr:row>133</xdr:row>
      <xdr:rowOff>720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38556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390600</xdr:colOff>
      <xdr:row>133</xdr:row>
      <xdr:rowOff>360</xdr:rowOff>
    </xdr:from>
    <xdr:to>
      <xdr:col>13</xdr:col>
      <xdr:colOff>434880</xdr:colOff>
      <xdr:row>133</xdr:row>
      <xdr:rowOff>720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514476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360</xdr:rowOff>
    </xdr:from>
    <xdr:to>
      <xdr:col>2</xdr:col>
      <xdr:colOff>93960</xdr:colOff>
      <xdr:row>133</xdr:row>
      <xdr:rowOff>720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40464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360</xdr:rowOff>
    </xdr:from>
    <xdr:to>
      <xdr:col>11</xdr:col>
      <xdr:colOff>377640</xdr:colOff>
      <xdr:row>133</xdr:row>
      <xdr:rowOff>720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435348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305640</xdr:colOff>
      <xdr:row>133</xdr:row>
      <xdr:rowOff>360</xdr:rowOff>
    </xdr:from>
    <xdr:to>
      <xdr:col>13</xdr:col>
      <xdr:colOff>93960</xdr:colOff>
      <xdr:row>133</xdr:row>
      <xdr:rowOff>720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4727520" y="10434960"/>
          <a:ext cx="1206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11" name="CustomShape 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2" name="CustomShape 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3" name="CustomShape 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4" name="CustomShape 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5" name="CustomShape 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6" name="CustomShape 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7" name="CustomShape 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8" name="CustomShape 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347" name="CustomShape 1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348" name="CustomShape 1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349" name="CustomShape 1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50" name="CustomShape 1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51" name="CustomShape 1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52" name="CustomShape 1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53" name="CustomShape 1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354" name="CustomShape 1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355" name="CustomShape 1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56" name="CustomShape 1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57" name="CustomShape 1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58" name="CustomShape 1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59" name="CustomShape 1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0" name="CustomShape 1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1" name="CustomShape 1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2" name="CustomShape 1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3" name="CustomShape 1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4" name="CustomShape 1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5" name="CustomShape 1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6" name="CustomShape 1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7" name="CustomShape 1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8" name="CustomShape 1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9" name="CustomShape 1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0" name="CustomShape 1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1" name="CustomShape 1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2" name="CustomShape 1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3" name="CustomShape 1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4" name="CustomShape 1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5" name="CustomShape 1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6" name="CustomShape 1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7" name="CustomShape 1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8" name="CustomShape 1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9" name="CustomShape 1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0" name="CustomShape 1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1" name="CustomShape 1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2" name="CustomShape 1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3" name="CustomShape 1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4" name="CustomShape 1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5" name="CustomShape 1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6" name="CustomShape 1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7" name="CustomShape 1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8" name="CustomShape 1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9" name="CustomShape 1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0" name="CustomShape 1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1" name="CustomShape 1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2" name="CustomShape 1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3" name="CustomShape 1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394" name="CustomShape 1">
          <a:extLst>
            <a:ext uri="{FF2B5EF4-FFF2-40B4-BE49-F238E27FC236}">
              <a16:creationId xmlns:a16="http://schemas.microsoft.com/office/drawing/2014/main" id="{00000000-0008-0000-0B00-00008A010000}"/>
            </a:ext>
          </a:extLst>
        </xdr:cNvPr>
        <xdr:cNvSpPr/>
      </xdr:nvSpPr>
      <xdr:spPr>
        <a:xfrm>
          <a:off x="4372560" y="132051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45720</xdr:rowOff>
    </xdr:from>
    <xdr:to>
      <xdr:col>6</xdr:col>
      <xdr:colOff>256320</xdr:colOff>
      <xdr:row>47</xdr:row>
      <xdr:rowOff>113040</xdr:rowOff>
    </xdr:to>
    <xdr:sp macro="" textlink="">
      <xdr:nvSpPr>
        <xdr:cNvPr id="395" name="CustomShape 1">
          <a:extLst>
            <a:ext uri="{FF2B5EF4-FFF2-40B4-BE49-F238E27FC236}">
              <a16:creationId xmlns:a16="http://schemas.microsoft.com/office/drawing/2014/main" id="{00000000-0008-0000-0B00-00008B010000}"/>
            </a:ext>
          </a:extLst>
        </xdr:cNvPr>
        <xdr:cNvSpPr/>
      </xdr:nvSpPr>
      <xdr:spPr>
        <a:xfrm>
          <a:off x="1979640" y="7628040"/>
          <a:ext cx="141480" cy="3913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29880</xdr:rowOff>
    </xdr:from>
    <xdr:to>
      <xdr:col>6</xdr:col>
      <xdr:colOff>255960</xdr:colOff>
      <xdr:row>44</xdr:row>
      <xdr:rowOff>123120</xdr:rowOff>
    </xdr:to>
    <xdr:sp macro="" textlink="">
      <xdr:nvSpPr>
        <xdr:cNvPr id="396" name="CustomShape 1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SpPr/>
      </xdr:nvSpPr>
      <xdr:spPr>
        <a:xfrm>
          <a:off x="2001240" y="7126560"/>
          <a:ext cx="119520" cy="41688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15120</xdr:rowOff>
    </xdr:from>
    <xdr:to>
      <xdr:col>6</xdr:col>
      <xdr:colOff>252360</xdr:colOff>
      <xdr:row>41</xdr:row>
      <xdr:rowOff>122400</xdr:rowOff>
    </xdr:to>
    <xdr:sp macro="" textlink="">
      <xdr:nvSpPr>
        <xdr:cNvPr id="397" name="CustomShape 1">
          <a:extLst>
            <a:ext uri="{FF2B5EF4-FFF2-40B4-BE49-F238E27FC236}">
              <a16:creationId xmlns:a16="http://schemas.microsoft.com/office/drawing/2014/main" id="{00000000-0008-0000-0B00-00008D010000}"/>
            </a:ext>
          </a:extLst>
        </xdr:cNvPr>
        <xdr:cNvSpPr/>
      </xdr:nvSpPr>
      <xdr:spPr>
        <a:xfrm>
          <a:off x="1979640" y="64641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13680</xdr:rowOff>
    </xdr:from>
    <xdr:to>
      <xdr:col>6</xdr:col>
      <xdr:colOff>275400</xdr:colOff>
      <xdr:row>37</xdr:row>
      <xdr:rowOff>141480</xdr:rowOff>
    </xdr:to>
    <xdr:sp macro="" textlink="">
      <xdr:nvSpPr>
        <xdr:cNvPr id="398" name="CustomShape 1">
          <a:extLst>
            <a:ext uri="{FF2B5EF4-FFF2-40B4-BE49-F238E27FC236}">
              <a16:creationId xmlns:a16="http://schemas.microsoft.com/office/drawing/2014/main" id="{00000000-0008-0000-0B00-00008E010000}"/>
            </a:ext>
          </a:extLst>
        </xdr:cNvPr>
        <xdr:cNvSpPr/>
      </xdr:nvSpPr>
      <xdr:spPr>
        <a:xfrm>
          <a:off x="1960560" y="56530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24480</xdr:rowOff>
    </xdr:from>
    <xdr:to>
      <xdr:col>6</xdr:col>
      <xdr:colOff>284760</xdr:colOff>
      <xdr:row>32</xdr:row>
      <xdr:rowOff>118440</xdr:rowOff>
    </xdr:to>
    <xdr:sp macro="" textlink="">
      <xdr:nvSpPr>
        <xdr:cNvPr id="399" name="CustomShape 1">
          <a:extLst>
            <a:ext uri="{FF2B5EF4-FFF2-40B4-BE49-F238E27FC236}">
              <a16:creationId xmlns:a16="http://schemas.microsoft.com/office/drawing/2014/main" id="{00000000-0008-0000-0B00-00008F010000}"/>
            </a:ext>
          </a:extLst>
        </xdr:cNvPr>
        <xdr:cNvSpPr/>
      </xdr:nvSpPr>
      <xdr:spPr>
        <a:xfrm>
          <a:off x="1969920" y="46922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37440</xdr:rowOff>
    </xdr:from>
    <xdr:to>
      <xdr:col>6</xdr:col>
      <xdr:colOff>331200</xdr:colOff>
      <xdr:row>26</xdr:row>
      <xdr:rowOff>131400</xdr:rowOff>
    </xdr:to>
    <xdr:sp macro="" textlink="">
      <xdr:nvSpPr>
        <xdr:cNvPr id="400" name="CustomShape 1">
          <a:extLst>
            <a:ext uri="{FF2B5EF4-FFF2-40B4-BE49-F238E27FC236}">
              <a16:creationId xmlns:a16="http://schemas.microsoft.com/office/drawing/2014/main" id="{00000000-0008-0000-0B00-000090010000}"/>
            </a:ext>
          </a:extLst>
        </xdr:cNvPr>
        <xdr:cNvSpPr/>
      </xdr:nvSpPr>
      <xdr:spPr>
        <a:xfrm>
          <a:off x="1979640" y="357156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401" name="CustomShape 1">
          <a:extLst>
            <a:ext uri="{FF2B5EF4-FFF2-40B4-BE49-F238E27FC236}">
              <a16:creationId xmlns:a16="http://schemas.microsoft.com/office/drawing/2014/main" id="{00000000-0008-0000-0B00-000091010000}"/>
            </a:ext>
          </a:extLst>
        </xdr:cNvPr>
        <xdr:cNvSpPr/>
      </xdr:nvSpPr>
      <xdr:spPr>
        <a:xfrm>
          <a:off x="40464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402" name="CustomShape 1">
          <a:extLst>
            <a:ext uri="{FF2B5EF4-FFF2-40B4-BE49-F238E27FC236}">
              <a16:creationId xmlns:a16="http://schemas.microsoft.com/office/drawing/2014/main" id="{00000000-0008-0000-0B00-000092010000}"/>
            </a:ext>
          </a:extLst>
        </xdr:cNvPr>
        <xdr:cNvSpPr/>
      </xdr:nvSpPr>
      <xdr:spPr>
        <a:xfrm>
          <a:off x="4353480" y="131958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03" name="CustomShape 1">
          <a:extLst>
            <a:ext uri="{FF2B5EF4-FFF2-40B4-BE49-F238E27FC236}">
              <a16:creationId xmlns:a16="http://schemas.microsoft.com/office/drawing/2014/main" id="{00000000-0008-0000-0B00-00009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04" name="CustomShape 1">
          <a:extLst>
            <a:ext uri="{FF2B5EF4-FFF2-40B4-BE49-F238E27FC236}">
              <a16:creationId xmlns:a16="http://schemas.microsoft.com/office/drawing/2014/main" id="{00000000-0008-0000-0B00-00009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05" name="CustomShape 1">
          <a:extLst>
            <a:ext uri="{FF2B5EF4-FFF2-40B4-BE49-F238E27FC236}">
              <a16:creationId xmlns:a16="http://schemas.microsoft.com/office/drawing/2014/main" id="{00000000-0008-0000-0B00-000095010000}"/>
            </a:ext>
          </a:extLst>
        </xdr:cNvPr>
        <xdr:cNvSpPr/>
      </xdr:nvSpPr>
      <xdr:spPr>
        <a:xfrm>
          <a:off x="1998360" y="1085004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6" name="CustomShape 1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7" name="CustomShape 1">
          <a:extLst>
            <a:ext uri="{FF2B5EF4-FFF2-40B4-BE49-F238E27FC236}">
              <a16:creationId xmlns:a16="http://schemas.microsoft.com/office/drawing/2014/main" id="{00000000-0008-0000-0B00-000097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8" name="CustomShape 1">
          <a:extLst>
            <a:ext uri="{FF2B5EF4-FFF2-40B4-BE49-F238E27FC236}">
              <a16:creationId xmlns:a16="http://schemas.microsoft.com/office/drawing/2014/main" id="{00000000-0008-0000-0B00-000098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9" name="CustomShape 1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0" name="CustomShape 1">
          <a:extLst>
            <a:ext uri="{FF2B5EF4-FFF2-40B4-BE49-F238E27FC236}">
              <a16:creationId xmlns:a16="http://schemas.microsoft.com/office/drawing/2014/main" id="{00000000-0008-0000-0B00-00009A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1" name="CustomShape 1">
          <a:extLst>
            <a:ext uri="{FF2B5EF4-FFF2-40B4-BE49-F238E27FC236}">
              <a16:creationId xmlns:a16="http://schemas.microsoft.com/office/drawing/2014/main" id="{00000000-0008-0000-0B00-00009B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2" name="CustomShape 1">
          <a:extLst>
            <a:ext uri="{FF2B5EF4-FFF2-40B4-BE49-F238E27FC236}">
              <a16:creationId xmlns:a16="http://schemas.microsoft.com/office/drawing/2014/main" id="{00000000-0008-0000-0B00-00009C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3" name="CustomShape 1">
          <a:extLst>
            <a:ext uri="{FF2B5EF4-FFF2-40B4-BE49-F238E27FC236}">
              <a16:creationId xmlns:a16="http://schemas.microsoft.com/office/drawing/2014/main" id="{00000000-0008-0000-0B00-00009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4" name="CustomShape 1">
          <a:extLst>
            <a:ext uri="{FF2B5EF4-FFF2-40B4-BE49-F238E27FC236}">
              <a16:creationId xmlns:a16="http://schemas.microsoft.com/office/drawing/2014/main" id="{00000000-0008-0000-0B00-00009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5" name="CustomShape 1">
          <a:extLst>
            <a:ext uri="{FF2B5EF4-FFF2-40B4-BE49-F238E27FC236}">
              <a16:creationId xmlns:a16="http://schemas.microsoft.com/office/drawing/2014/main" id="{00000000-0008-0000-0B00-00009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6" name="CustomShape 1">
          <a:extLst>
            <a:ext uri="{FF2B5EF4-FFF2-40B4-BE49-F238E27FC236}">
              <a16:creationId xmlns:a16="http://schemas.microsoft.com/office/drawing/2014/main" id="{00000000-0008-0000-0B00-0000A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7" name="CustomShape 1">
          <a:extLst>
            <a:ext uri="{FF2B5EF4-FFF2-40B4-BE49-F238E27FC236}">
              <a16:creationId xmlns:a16="http://schemas.microsoft.com/office/drawing/2014/main" id="{00000000-0008-0000-0B00-0000A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8" name="CustomShape 1">
          <a:extLst>
            <a:ext uri="{FF2B5EF4-FFF2-40B4-BE49-F238E27FC236}">
              <a16:creationId xmlns:a16="http://schemas.microsoft.com/office/drawing/2014/main" id="{00000000-0008-0000-0B00-0000A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9" name="CustomShape 1">
          <a:extLst>
            <a:ext uri="{FF2B5EF4-FFF2-40B4-BE49-F238E27FC236}">
              <a16:creationId xmlns:a16="http://schemas.microsoft.com/office/drawing/2014/main" id="{00000000-0008-0000-0B00-0000A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0" name="CustomShape 1">
          <a:extLst>
            <a:ext uri="{FF2B5EF4-FFF2-40B4-BE49-F238E27FC236}">
              <a16:creationId xmlns:a16="http://schemas.microsoft.com/office/drawing/2014/main" id="{00000000-0008-0000-0B00-0000A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1" name="CustomShape 1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2" name="CustomShape 1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3" name="CustomShape 1">
          <a:extLst>
            <a:ext uri="{FF2B5EF4-FFF2-40B4-BE49-F238E27FC236}">
              <a16:creationId xmlns:a16="http://schemas.microsoft.com/office/drawing/2014/main" id="{00000000-0008-0000-0B00-0000A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4" name="CustomShape 1">
          <a:extLst>
            <a:ext uri="{FF2B5EF4-FFF2-40B4-BE49-F238E27FC236}">
              <a16:creationId xmlns:a16="http://schemas.microsoft.com/office/drawing/2014/main" id="{00000000-0008-0000-0B00-0000A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5" name="CustomShape 1">
          <a:extLst>
            <a:ext uri="{FF2B5EF4-FFF2-40B4-BE49-F238E27FC236}">
              <a16:creationId xmlns:a16="http://schemas.microsoft.com/office/drawing/2014/main" id="{00000000-0008-0000-0B00-0000A9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6" name="CustomShape 1">
          <a:extLst>
            <a:ext uri="{FF2B5EF4-FFF2-40B4-BE49-F238E27FC236}">
              <a16:creationId xmlns:a16="http://schemas.microsoft.com/office/drawing/2014/main" id="{00000000-0008-0000-0B00-0000AA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7" name="CustomShape 1">
          <a:extLst>
            <a:ext uri="{FF2B5EF4-FFF2-40B4-BE49-F238E27FC236}">
              <a16:creationId xmlns:a16="http://schemas.microsoft.com/office/drawing/2014/main" id="{00000000-0008-0000-0B00-0000AB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8" name="CustomShape 1">
          <a:extLst>
            <a:ext uri="{FF2B5EF4-FFF2-40B4-BE49-F238E27FC236}">
              <a16:creationId xmlns:a16="http://schemas.microsoft.com/office/drawing/2014/main" id="{00000000-0008-0000-0B00-0000AC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9" name="CustomShape 1">
          <a:extLst>
            <a:ext uri="{FF2B5EF4-FFF2-40B4-BE49-F238E27FC236}">
              <a16:creationId xmlns:a16="http://schemas.microsoft.com/office/drawing/2014/main" id="{00000000-0008-0000-0B00-0000A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0" name="CustomShape 1">
          <a:extLst>
            <a:ext uri="{FF2B5EF4-FFF2-40B4-BE49-F238E27FC236}">
              <a16:creationId xmlns:a16="http://schemas.microsoft.com/office/drawing/2014/main" id="{00000000-0008-0000-0B00-0000A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1" name="CustomShape 1">
          <a:extLst>
            <a:ext uri="{FF2B5EF4-FFF2-40B4-BE49-F238E27FC236}">
              <a16:creationId xmlns:a16="http://schemas.microsoft.com/office/drawing/2014/main" id="{00000000-0008-0000-0B00-0000A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2" name="CustomShape 1">
          <a:extLst>
            <a:ext uri="{FF2B5EF4-FFF2-40B4-BE49-F238E27FC236}">
              <a16:creationId xmlns:a16="http://schemas.microsoft.com/office/drawing/2014/main" id="{00000000-0008-0000-0B00-0000B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3" name="CustomShape 1">
          <a:extLst>
            <a:ext uri="{FF2B5EF4-FFF2-40B4-BE49-F238E27FC236}">
              <a16:creationId xmlns:a16="http://schemas.microsoft.com/office/drawing/2014/main" id="{00000000-0008-0000-0B00-0000B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4" name="CustomShape 1">
          <a:extLst>
            <a:ext uri="{FF2B5EF4-FFF2-40B4-BE49-F238E27FC236}">
              <a16:creationId xmlns:a16="http://schemas.microsoft.com/office/drawing/2014/main" id="{00000000-0008-0000-0B00-0000B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5" name="CustomShape 1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6" name="CustomShape 1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7" name="CustomShape 1">
          <a:extLst>
            <a:ext uri="{FF2B5EF4-FFF2-40B4-BE49-F238E27FC236}">
              <a16:creationId xmlns:a16="http://schemas.microsoft.com/office/drawing/2014/main" id="{00000000-0008-0000-0B00-0000B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8" name="CustomShape 1">
          <a:extLst>
            <a:ext uri="{FF2B5EF4-FFF2-40B4-BE49-F238E27FC236}">
              <a16:creationId xmlns:a16="http://schemas.microsoft.com/office/drawing/2014/main" id="{00000000-0008-0000-0B00-0000B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9" name="CustomShape 1">
          <a:extLst>
            <a:ext uri="{FF2B5EF4-FFF2-40B4-BE49-F238E27FC236}">
              <a16:creationId xmlns:a16="http://schemas.microsoft.com/office/drawing/2014/main" id="{00000000-0008-0000-0B00-0000B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40" name="CustomShape 1">
          <a:extLst>
            <a:ext uri="{FF2B5EF4-FFF2-40B4-BE49-F238E27FC236}">
              <a16:creationId xmlns:a16="http://schemas.microsoft.com/office/drawing/2014/main" id="{00000000-0008-0000-0B00-0000B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41" name="CustomShape 1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42" name="CustomShape 1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43" name="CustomShape 1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44" name="CustomShape 1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45" name="CustomShape 1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46" name="CustomShape 1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447" name="CustomShape 1">
          <a:extLst>
            <a:ext uri="{FF2B5EF4-FFF2-40B4-BE49-F238E27FC236}">
              <a16:creationId xmlns:a16="http://schemas.microsoft.com/office/drawing/2014/main" id="{00000000-0008-0000-0C00-0000B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448" name="CustomShape 1">
          <a:extLst>
            <a:ext uri="{FF2B5EF4-FFF2-40B4-BE49-F238E27FC236}">
              <a16:creationId xmlns:a16="http://schemas.microsoft.com/office/drawing/2014/main" id="{00000000-0008-0000-0C00-0000C0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449" name="CustomShape 1">
          <a:extLst>
            <a:ext uri="{FF2B5EF4-FFF2-40B4-BE49-F238E27FC236}">
              <a16:creationId xmlns:a16="http://schemas.microsoft.com/office/drawing/2014/main" id="{00000000-0008-0000-0C00-0000C1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50" name="CustomShape 1">
          <a:extLst>
            <a:ext uri="{FF2B5EF4-FFF2-40B4-BE49-F238E27FC236}">
              <a16:creationId xmlns:a16="http://schemas.microsoft.com/office/drawing/2014/main" id="{00000000-0008-0000-0C00-0000C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51" name="CustomShape 1">
          <a:extLst>
            <a:ext uri="{FF2B5EF4-FFF2-40B4-BE49-F238E27FC236}">
              <a16:creationId xmlns:a16="http://schemas.microsoft.com/office/drawing/2014/main" id="{00000000-0008-0000-0C00-0000C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52" name="CustomShape 1">
          <a:extLst>
            <a:ext uri="{FF2B5EF4-FFF2-40B4-BE49-F238E27FC236}">
              <a16:creationId xmlns:a16="http://schemas.microsoft.com/office/drawing/2014/main" id="{00000000-0008-0000-0C00-0000C4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3" name="CustomShape 1">
          <a:extLst>
            <a:ext uri="{FF2B5EF4-FFF2-40B4-BE49-F238E27FC236}">
              <a16:creationId xmlns:a16="http://schemas.microsoft.com/office/drawing/2014/main" id="{00000000-0008-0000-0C00-0000C5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4" name="CustomShape 1">
          <a:extLst>
            <a:ext uri="{FF2B5EF4-FFF2-40B4-BE49-F238E27FC236}">
              <a16:creationId xmlns:a16="http://schemas.microsoft.com/office/drawing/2014/main" id="{00000000-0008-0000-0C00-0000C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5" name="CustomShape 1">
          <a:extLst>
            <a:ext uri="{FF2B5EF4-FFF2-40B4-BE49-F238E27FC236}">
              <a16:creationId xmlns:a16="http://schemas.microsoft.com/office/drawing/2014/main" id="{00000000-0008-0000-0C00-0000C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6" name="CustomShape 1">
          <a:extLst>
            <a:ext uri="{FF2B5EF4-FFF2-40B4-BE49-F238E27FC236}">
              <a16:creationId xmlns:a16="http://schemas.microsoft.com/office/drawing/2014/main" id="{00000000-0008-0000-0C00-0000C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7" name="CustomShape 1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8" name="CustomShape 1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9" name="CustomShape 1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0" name="CustomShape 1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1" name="CustomShape 1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2" name="CustomShape 1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3" name="CustomShape 1">
          <a:extLst>
            <a:ext uri="{FF2B5EF4-FFF2-40B4-BE49-F238E27FC236}">
              <a16:creationId xmlns:a16="http://schemas.microsoft.com/office/drawing/2014/main" id="{00000000-0008-0000-0C00-0000C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4" name="CustomShape 1">
          <a:extLst>
            <a:ext uri="{FF2B5EF4-FFF2-40B4-BE49-F238E27FC236}">
              <a16:creationId xmlns:a16="http://schemas.microsoft.com/office/drawing/2014/main" id="{00000000-0008-0000-0C00-0000D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5" name="CustomShape 1">
          <a:extLst>
            <a:ext uri="{FF2B5EF4-FFF2-40B4-BE49-F238E27FC236}">
              <a16:creationId xmlns:a16="http://schemas.microsoft.com/office/drawing/2014/main" id="{00000000-0008-0000-0C00-0000D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6" name="CustomShape 1">
          <a:extLst>
            <a:ext uri="{FF2B5EF4-FFF2-40B4-BE49-F238E27FC236}">
              <a16:creationId xmlns:a16="http://schemas.microsoft.com/office/drawing/2014/main" id="{00000000-0008-0000-0C00-0000D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7" name="CustomShape 1">
          <a:extLst>
            <a:ext uri="{FF2B5EF4-FFF2-40B4-BE49-F238E27FC236}">
              <a16:creationId xmlns:a16="http://schemas.microsoft.com/office/drawing/2014/main" id="{00000000-0008-0000-0C00-0000D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8" name="CustomShape 1">
          <a:extLst>
            <a:ext uri="{FF2B5EF4-FFF2-40B4-BE49-F238E27FC236}">
              <a16:creationId xmlns:a16="http://schemas.microsoft.com/office/drawing/2014/main" id="{00000000-0008-0000-0C00-0000D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9" name="CustomShape 1">
          <a:extLst>
            <a:ext uri="{FF2B5EF4-FFF2-40B4-BE49-F238E27FC236}">
              <a16:creationId xmlns:a16="http://schemas.microsoft.com/office/drawing/2014/main" id="{00000000-0008-0000-0C00-0000D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0" name="CustomShape 1">
          <a:extLst>
            <a:ext uri="{FF2B5EF4-FFF2-40B4-BE49-F238E27FC236}">
              <a16:creationId xmlns:a16="http://schemas.microsoft.com/office/drawing/2014/main" id="{00000000-0008-0000-0C00-0000D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1" name="CustomShape 1">
          <a:extLst>
            <a:ext uri="{FF2B5EF4-FFF2-40B4-BE49-F238E27FC236}">
              <a16:creationId xmlns:a16="http://schemas.microsoft.com/office/drawing/2014/main" id="{00000000-0008-0000-0C00-0000D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2" name="CustomShape 1">
          <a:extLst>
            <a:ext uri="{FF2B5EF4-FFF2-40B4-BE49-F238E27FC236}">
              <a16:creationId xmlns:a16="http://schemas.microsoft.com/office/drawing/2014/main" id="{00000000-0008-0000-0C00-0000D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3" name="CustomShape 1">
          <a:extLst>
            <a:ext uri="{FF2B5EF4-FFF2-40B4-BE49-F238E27FC236}">
              <a16:creationId xmlns:a16="http://schemas.microsoft.com/office/drawing/2014/main" id="{00000000-0008-0000-0C00-0000D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4" name="CustomShape 1">
          <a:extLst>
            <a:ext uri="{FF2B5EF4-FFF2-40B4-BE49-F238E27FC236}">
              <a16:creationId xmlns:a16="http://schemas.microsoft.com/office/drawing/2014/main" id="{00000000-0008-0000-0C00-0000D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5" name="CustomShape 1">
          <a:extLst>
            <a:ext uri="{FF2B5EF4-FFF2-40B4-BE49-F238E27FC236}">
              <a16:creationId xmlns:a16="http://schemas.microsoft.com/office/drawing/2014/main" id="{00000000-0008-0000-0C00-0000D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6" name="CustomShape 1">
          <a:extLst>
            <a:ext uri="{FF2B5EF4-FFF2-40B4-BE49-F238E27FC236}">
              <a16:creationId xmlns:a16="http://schemas.microsoft.com/office/drawing/2014/main" id="{00000000-0008-0000-0C00-0000D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7" name="CustomShape 1">
          <a:extLst>
            <a:ext uri="{FF2B5EF4-FFF2-40B4-BE49-F238E27FC236}">
              <a16:creationId xmlns:a16="http://schemas.microsoft.com/office/drawing/2014/main" id="{00000000-0008-0000-0C00-0000D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8" name="CustomShape 1">
          <a:extLst>
            <a:ext uri="{FF2B5EF4-FFF2-40B4-BE49-F238E27FC236}">
              <a16:creationId xmlns:a16="http://schemas.microsoft.com/office/drawing/2014/main" id="{00000000-0008-0000-0C00-0000D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9" name="CustomShape 1">
          <a:extLst>
            <a:ext uri="{FF2B5EF4-FFF2-40B4-BE49-F238E27FC236}">
              <a16:creationId xmlns:a16="http://schemas.microsoft.com/office/drawing/2014/main" id="{00000000-0008-0000-0C00-0000D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0" name="CustomShape 1">
          <a:extLst>
            <a:ext uri="{FF2B5EF4-FFF2-40B4-BE49-F238E27FC236}">
              <a16:creationId xmlns:a16="http://schemas.microsoft.com/office/drawing/2014/main" id="{00000000-0008-0000-0C00-0000E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1" name="CustomShape 1">
          <a:extLst>
            <a:ext uri="{FF2B5EF4-FFF2-40B4-BE49-F238E27FC236}">
              <a16:creationId xmlns:a16="http://schemas.microsoft.com/office/drawing/2014/main" id="{00000000-0008-0000-0C00-0000E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2" name="CustomShape 1">
          <a:extLst>
            <a:ext uri="{FF2B5EF4-FFF2-40B4-BE49-F238E27FC236}">
              <a16:creationId xmlns:a16="http://schemas.microsoft.com/office/drawing/2014/main" id="{00000000-0008-0000-0C00-0000E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3" name="CustomShape 1">
          <a:extLst>
            <a:ext uri="{FF2B5EF4-FFF2-40B4-BE49-F238E27FC236}">
              <a16:creationId xmlns:a16="http://schemas.microsoft.com/office/drawing/2014/main" id="{00000000-0008-0000-0C00-0000E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4" name="CustomShape 1">
          <a:extLst>
            <a:ext uri="{FF2B5EF4-FFF2-40B4-BE49-F238E27FC236}">
              <a16:creationId xmlns:a16="http://schemas.microsoft.com/office/drawing/2014/main" id="{00000000-0008-0000-0C00-0000E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5" name="CustomShape 1">
          <a:extLst>
            <a:ext uri="{FF2B5EF4-FFF2-40B4-BE49-F238E27FC236}">
              <a16:creationId xmlns:a16="http://schemas.microsoft.com/office/drawing/2014/main" id="{00000000-0008-0000-0C00-0000E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6" name="CustomShape 1">
          <a:extLst>
            <a:ext uri="{FF2B5EF4-FFF2-40B4-BE49-F238E27FC236}">
              <a16:creationId xmlns:a16="http://schemas.microsoft.com/office/drawing/2014/main" id="{00000000-0008-0000-0C00-0000E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7" name="CustomShape 1">
          <a:extLst>
            <a:ext uri="{FF2B5EF4-FFF2-40B4-BE49-F238E27FC236}">
              <a16:creationId xmlns:a16="http://schemas.microsoft.com/office/drawing/2014/main" id="{00000000-0008-0000-0C00-0000E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8" name="CustomShape 1">
          <a:extLst>
            <a:ext uri="{FF2B5EF4-FFF2-40B4-BE49-F238E27FC236}">
              <a16:creationId xmlns:a16="http://schemas.microsoft.com/office/drawing/2014/main" id="{00000000-0008-0000-0C00-0000E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9" name="CustomShape 1">
          <a:extLst>
            <a:ext uri="{FF2B5EF4-FFF2-40B4-BE49-F238E27FC236}">
              <a16:creationId xmlns:a16="http://schemas.microsoft.com/office/drawing/2014/main" id="{00000000-0008-0000-0C00-0000E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0" name="CustomShape 1">
          <a:extLst>
            <a:ext uri="{FF2B5EF4-FFF2-40B4-BE49-F238E27FC236}">
              <a16:creationId xmlns:a16="http://schemas.microsoft.com/office/drawing/2014/main" id="{00000000-0008-0000-0C00-0000E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1" name="CustomShape 1">
          <a:extLst>
            <a:ext uri="{FF2B5EF4-FFF2-40B4-BE49-F238E27FC236}">
              <a16:creationId xmlns:a16="http://schemas.microsoft.com/office/drawing/2014/main" id="{00000000-0008-0000-0C00-0000E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2" name="CustomShape 1">
          <a:extLst>
            <a:ext uri="{FF2B5EF4-FFF2-40B4-BE49-F238E27FC236}">
              <a16:creationId xmlns:a16="http://schemas.microsoft.com/office/drawing/2014/main" id="{00000000-0008-0000-0C00-0000E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3" name="CustomShape 1">
          <a:extLst>
            <a:ext uri="{FF2B5EF4-FFF2-40B4-BE49-F238E27FC236}">
              <a16:creationId xmlns:a16="http://schemas.microsoft.com/office/drawing/2014/main" id="{00000000-0008-0000-0C00-0000E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94" name="CustomShape 1">
          <a:extLst>
            <a:ext uri="{FF2B5EF4-FFF2-40B4-BE49-F238E27FC236}">
              <a16:creationId xmlns:a16="http://schemas.microsoft.com/office/drawing/2014/main" id="{00000000-0008-0000-0D00-0000EE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95" name="CustomShape 1">
          <a:extLst>
            <a:ext uri="{FF2B5EF4-FFF2-40B4-BE49-F238E27FC236}">
              <a16:creationId xmlns:a16="http://schemas.microsoft.com/office/drawing/2014/main" id="{00000000-0008-0000-0D00-0000EF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96" name="CustomShape 1">
          <a:extLst>
            <a:ext uri="{FF2B5EF4-FFF2-40B4-BE49-F238E27FC236}">
              <a16:creationId xmlns:a16="http://schemas.microsoft.com/office/drawing/2014/main" id="{00000000-0008-0000-0D00-0000F0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97" name="CustomShape 1">
          <a:extLst>
            <a:ext uri="{FF2B5EF4-FFF2-40B4-BE49-F238E27FC236}">
              <a16:creationId xmlns:a16="http://schemas.microsoft.com/office/drawing/2014/main" id="{00000000-0008-0000-0D00-0000F1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8" name="CustomShape 1">
          <a:extLst>
            <a:ext uri="{FF2B5EF4-FFF2-40B4-BE49-F238E27FC236}">
              <a16:creationId xmlns:a16="http://schemas.microsoft.com/office/drawing/2014/main" id="{00000000-0008-0000-0D00-0000F2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99" name="CustomShape 1">
          <a:extLst>
            <a:ext uri="{FF2B5EF4-FFF2-40B4-BE49-F238E27FC236}">
              <a16:creationId xmlns:a16="http://schemas.microsoft.com/office/drawing/2014/main" id="{00000000-0008-0000-0D00-0000F3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00" name="CustomShape 1">
          <a:extLst>
            <a:ext uri="{FF2B5EF4-FFF2-40B4-BE49-F238E27FC236}">
              <a16:creationId xmlns:a16="http://schemas.microsoft.com/office/drawing/2014/main" id="{00000000-0008-0000-0D00-0000F4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01" name="CustomShape 1">
          <a:extLst>
            <a:ext uri="{FF2B5EF4-FFF2-40B4-BE49-F238E27FC236}">
              <a16:creationId xmlns:a16="http://schemas.microsoft.com/office/drawing/2014/main" id="{00000000-0008-0000-0D00-0000F5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02" name="CustomShape 1">
          <a:extLst>
            <a:ext uri="{FF2B5EF4-FFF2-40B4-BE49-F238E27FC236}">
              <a16:creationId xmlns:a16="http://schemas.microsoft.com/office/drawing/2014/main" id="{00000000-0008-0000-0D00-0000F6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03" name="CustomShape 1">
          <a:extLst>
            <a:ext uri="{FF2B5EF4-FFF2-40B4-BE49-F238E27FC236}">
              <a16:creationId xmlns:a16="http://schemas.microsoft.com/office/drawing/2014/main" id="{00000000-0008-0000-0D00-0000F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04" name="CustomShape 1">
          <a:extLst>
            <a:ext uri="{FF2B5EF4-FFF2-40B4-BE49-F238E27FC236}">
              <a16:creationId xmlns:a16="http://schemas.microsoft.com/office/drawing/2014/main" id="{00000000-0008-0000-0D00-0000F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05" name="CustomShape 1">
          <a:extLst>
            <a:ext uri="{FF2B5EF4-FFF2-40B4-BE49-F238E27FC236}">
              <a16:creationId xmlns:a16="http://schemas.microsoft.com/office/drawing/2014/main" id="{00000000-0008-0000-0D00-0000F9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6" name="CustomShape 1">
          <a:extLst>
            <a:ext uri="{FF2B5EF4-FFF2-40B4-BE49-F238E27FC236}">
              <a16:creationId xmlns:a16="http://schemas.microsoft.com/office/drawing/2014/main" id="{00000000-0008-0000-0D00-0000F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7" name="CustomShape 1">
          <a:extLst>
            <a:ext uri="{FF2B5EF4-FFF2-40B4-BE49-F238E27FC236}">
              <a16:creationId xmlns:a16="http://schemas.microsoft.com/office/drawing/2014/main" id="{00000000-0008-0000-0D00-0000F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8" name="CustomShape 1">
          <a:extLst>
            <a:ext uri="{FF2B5EF4-FFF2-40B4-BE49-F238E27FC236}">
              <a16:creationId xmlns:a16="http://schemas.microsoft.com/office/drawing/2014/main" id="{00000000-0008-0000-0D00-0000F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9" name="CustomShape 1">
          <a:extLst>
            <a:ext uri="{FF2B5EF4-FFF2-40B4-BE49-F238E27FC236}">
              <a16:creationId xmlns:a16="http://schemas.microsoft.com/office/drawing/2014/main" id="{00000000-0008-0000-0D00-0000F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0" name="CustomShape 1">
          <a:extLst>
            <a:ext uri="{FF2B5EF4-FFF2-40B4-BE49-F238E27FC236}">
              <a16:creationId xmlns:a16="http://schemas.microsoft.com/office/drawing/2014/main" id="{00000000-0008-0000-0D00-0000F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1" name="CustomShape 1">
          <a:extLst>
            <a:ext uri="{FF2B5EF4-FFF2-40B4-BE49-F238E27FC236}">
              <a16:creationId xmlns:a16="http://schemas.microsoft.com/office/drawing/2014/main" id="{00000000-0008-0000-0D00-0000FF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2" name="CustomShape 1">
          <a:extLst>
            <a:ext uri="{FF2B5EF4-FFF2-40B4-BE49-F238E27FC236}">
              <a16:creationId xmlns:a16="http://schemas.microsoft.com/office/drawing/2014/main" id="{00000000-0008-0000-0D00-00000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3" name="CustomShape 1">
          <a:extLst>
            <a:ext uri="{FF2B5EF4-FFF2-40B4-BE49-F238E27FC236}">
              <a16:creationId xmlns:a16="http://schemas.microsoft.com/office/drawing/2014/main" id="{00000000-0008-0000-0D00-00000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4" name="CustomShape 1">
          <a:extLst>
            <a:ext uri="{FF2B5EF4-FFF2-40B4-BE49-F238E27FC236}">
              <a16:creationId xmlns:a16="http://schemas.microsoft.com/office/drawing/2014/main" id="{00000000-0008-0000-0D00-00000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5" name="CustomShape 1">
          <a:extLst>
            <a:ext uri="{FF2B5EF4-FFF2-40B4-BE49-F238E27FC236}">
              <a16:creationId xmlns:a16="http://schemas.microsoft.com/office/drawing/2014/main" id="{00000000-0008-0000-0D00-00000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6" name="CustomShape 1">
          <a:extLst>
            <a:ext uri="{FF2B5EF4-FFF2-40B4-BE49-F238E27FC236}">
              <a16:creationId xmlns:a16="http://schemas.microsoft.com/office/drawing/2014/main" id="{00000000-0008-0000-0D00-00000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7" name="CustomShape 1">
          <a:extLst>
            <a:ext uri="{FF2B5EF4-FFF2-40B4-BE49-F238E27FC236}">
              <a16:creationId xmlns:a16="http://schemas.microsoft.com/office/drawing/2014/main" id="{00000000-0008-0000-0D00-00000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8" name="CustomShape 1">
          <a:extLst>
            <a:ext uri="{FF2B5EF4-FFF2-40B4-BE49-F238E27FC236}">
              <a16:creationId xmlns:a16="http://schemas.microsoft.com/office/drawing/2014/main" id="{00000000-0008-0000-0D00-00000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9" name="CustomShape 1">
          <a:extLst>
            <a:ext uri="{FF2B5EF4-FFF2-40B4-BE49-F238E27FC236}">
              <a16:creationId xmlns:a16="http://schemas.microsoft.com/office/drawing/2014/main" id="{00000000-0008-0000-0D00-00000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0" name="CustomShape 1">
          <a:extLst>
            <a:ext uri="{FF2B5EF4-FFF2-40B4-BE49-F238E27FC236}">
              <a16:creationId xmlns:a16="http://schemas.microsoft.com/office/drawing/2014/main" id="{00000000-0008-0000-0D00-00000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1" name="CustomShape 1">
          <a:extLst>
            <a:ext uri="{FF2B5EF4-FFF2-40B4-BE49-F238E27FC236}">
              <a16:creationId xmlns:a16="http://schemas.microsoft.com/office/drawing/2014/main" id="{00000000-0008-0000-0D00-00000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2" name="CustomShape 1">
          <a:extLst>
            <a:ext uri="{FF2B5EF4-FFF2-40B4-BE49-F238E27FC236}">
              <a16:creationId xmlns:a16="http://schemas.microsoft.com/office/drawing/2014/main" id="{00000000-0008-0000-0D00-00000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3" name="CustomShape 1">
          <a:extLst>
            <a:ext uri="{FF2B5EF4-FFF2-40B4-BE49-F238E27FC236}">
              <a16:creationId xmlns:a16="http://schemas.microsoft.com/office/drawing/2014/main" id="{00000000-0008-0000-0D00-00000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4" name="CustomShape 1">
          <a:extLst>
            <a:ext uri="{FF2B5EF4-FFF2-40B4-BE49-F238E27FC236}">
              <a16:creationId xmlns:a16="http://schemas.microsoft.com/office/drawing/2014/main" id="{00000000-0008-0000-0D00-00000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5" name="CustomShape 1">
          <a:extLst>
            <a:ext uri="{FF2B5EF4-FFF2-40B4-BE49-F238E27FC236}">
              <a16:creationId xmlns:a16="http://schemas.microsoft.com/office/drawing/2014/main" id="{00000000-0008-0000-0D00-00000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6" name="CustomShape 1">
          <a:extLst>
            <a:ext uri="{FF2B5EF4-FFF2-40B4-BE49-F238E27FC236}">
              <a16:creationId xmlns:a16="http://schemas.microsoft.com/office/drawing/2014/main" id="{00000000-0008-0000-0D00-00000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7" name="CustomShape 1">
          <a:extLst>
            <a:ext uri="{FF2B5EF4-FFF2-40B4-BE49-F238E27FC236}">
              <a16:creationId xmlns:a16="http://schemas.microsoft.com/office/drawing/2014/main" id="{00000000-0008-0000-0D00-00000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8" name="CustomShape 1">
          <a:extLst>
            <a:ext uri="{FF2B5EF4-FFF2-40B4-BE49-F238E27FC236}">
              <a16:creationId xmlns:a16="http://schemas.microsoft.com/office/drawing/2014/main" id="{00000000-0008-0000-0D00-00001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9" name="CustomShape 1">
          <a:extLst>
            <a:ext uri="{FF2B5EF4-FFF2-40B4-BE49-F238E27FC236}">
              <a16:creationId xmlns:a16="http://schemas.microsoft.com/office/drawing/2014/main" id="{00000000-0008-0000-0D00-00001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0" name="CustomShape 1">
          <a:extLst>
            <a:ext uri="{FF2B5EF4-FFF2-40B4-BE49-F238E27FC236}">
              <a16:creationId xmlns:a16="http://schemas.microsoft.com/office/drawing/2014/main" id="{00000000-0008-0000-0D00-00001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1" name="CustomShape 1">
          <a:extLst>
            <a:ext uri="{FF2B5EF4-FFF2-40B4-BE49-F238E27FC236}">
              <a16:creationId xmlns:a16="http://schemas.microsoft.com/office/drawing/2014/main" id="{00000000-0008-0000-0D00-00001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2" name="CustomShape 1">
          <a:extLst>
            <a:ext uri="{FF2B5EF4-FFF2-40B4-BE49-F238E27FC236}">
              <a16:creationId xmlns:a16="http://schemas.microsoft.com/office/drawing/2014/main" id="{00000000-0008-0000-0D00-00001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3" name="CustomShape 1">
          <a:extLst>
            <a:ext uri="{FF2B5EF4-FFF2-40B4-BE49-F238E27FC236}">
              <a16:creationId xmlns:a16="http://schemas.microsoft.com/office/drawing/2014/main" id="{00000000-0008-0000-0D00-00001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4" name="CustomShape 1">
          <a:extLst>
            <a:ext uri="{FF2B5EF4-FFF2-40B4-BE49-F238E27FC236}">
              <a16:creationId xmlns:a16="http://schemas.microsoft.com/office/drawing/2014/main" id="{00000000-0008-0000-0D00-00001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5" name="CustomShape 1">
          <a:extLst>
            <a:ext uri="{FF2B5EF4-FFF2-40B4-BE49-F238E27FC236}">
              <a16:creationId xmlns:a16="http://schemas.microsoft.com/office/drawing/2014/main" id="{00000000-0008-0000-0D00-00001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6" name="CustomShape 1">
          <a:extLst>
            <a:ext uri="{FF2B5EF4-FFF2-40B4-BE49-F238E27FC236}">
              <a16:creationId xmlns:a16="http://schemas.microsoft.com/office/drawing/2014/main" id="{00000000-0008-0000-0D00-00001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7" name="CustomShape 1">
          <a:extLst>
            <a:ext uri="{FF2B5EF4-FFF2-40B4-BE49-F238E27FC236}">
              <a16:creationId xmlns:a16="http://schemas.microsoft.com/office/drawing/2014/main" id="{00000000-0008-0000-0D00-00001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8" name="CustomShape 1">
          <a:extLst>
            <a:ext uri="{FF2B5EF4-FFF2-40B4-BE49-F238E27FC236}">
              <a16:creationId xmlns:a16="http://schemas.microsoft.com/office/drawing/2014/main" id="{00000000-0008-0000-0D00-00001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9" name="CustomShape 1">
          <a:extLst>
            <a:ext uri="{FF2B5EF4-FFF2-40B4-BE49-F238E27FC236}">
              <a16:creationId xmlns:a16="http://schemas.microsoft.com/office/drawing/2014/main" id="{00000000-0008-0000-0D00-00001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0" name="CustomShape 1">
          <a:extLst>
            <a:ext uri="{FF2B5EF4-FFF2-40B4-BE49-F238E27FC236}">
              <a16:creationId xmlns:a16="http://schemas.microsoft.com/office/drawing/2014/main" id="{00000000-0008-0000-0D00-00001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1" name="CustomShape 1">
          <a:extLst>
            <a:ext uri="{FF2B5EF4-FFF2-40B4-BE49-F238E27FC236}">
              <a16:creationId xmlns:a16="http://schemas.microsoft.com/office/drawing/2014/main" id="{00000000-0008-0000-0D00-00001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2" name="CustomShape 1">
          <a:extLst>
            <a:ext uri="{FF2B5EF4-FFF2-40B4-BE49-F238E27FC236}">
              <a16:creationId xmlns:a16="http://schemas.microsoft.com/office/drawing/2014/main" id="{00000000-0008-0000-0D00-00001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3" name="CustomShape 1">
          <a:extLst>
            <a:ext uri="{FF2B5EF4-FFF2-40B4-BE49-F238E27FC236}">
              <a16:creationId xmlns:a16="http://schemas.microsoft.com/office/drawing/2014/main" id="{00000000-0008-0000-0D00-00001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4" name="CustomShape 1">
          <a:extLst>
            <a:ext uri="{FF2B5EF4-FFF2-40B4-BE49-F238E27FC236}">
              <a16:creationId xmlns:a16="http://schemas.microsoft.com/office/drawing/2014/main" id="{00000000-0008-0000-0D00-00002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5" name="CustomShape 1">
          <a:extLst>
            <a:ext uri="{FF2B5EF4-FFF2-40B4-BE49-F238E27FC236}">
              <a16:creationId xmlns:a16="http://schemas.microsoft.com/office/drawing/2014/main" id="{00000000-0008-0000-0D00-00002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6" name="CustomShape 1">
          <a:extLst>
            <a:ext uri="{FF2B5EF4-FFF2-40B4-BE49-F238E27FC236}">
              <a16:creationId xmlns:a16="http://schemas.microsoft.com/office/drawing/2014/main" id="{00000000-0008-0000-0D00-00002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547" name="CustomShape 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548" name="CustomShape 1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549" name="CustomShape 1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550" name="CustomShape 1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551" name="CustomShape 1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52" name="CustomShape 1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53" name="CustomShape 1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54" name="CustomShape 1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55" name="CustomShape 1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56" name="CustomShape 1">
          <a:extLst>
            <a:ext uri="{FF2B5EF4-FFF2-40B4-BE49-F238E27FC236}">
              <a16:creationId xmlns:a16="http://schemas.microsoft.com/office/drawing/2014/main" id="{00000000-0008-0000-0E00-00002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7" name="CustomShape 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58" name="CustomShape 1">
          <a:extLst>
            <a:ext uri="{FF2B5EF4-FFF2-40B4-BE49-F238E27FC236}">
              <a16:creationId xmlns:a16="http://schemas.microsoft.com/office/drawing/2014/main" id="{00000000-0008-0000-0E00-00002E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59" name="CustomShape 1">
          <a:extLst>
            <a:ext uri="{FF2B5EF4-FFF2-40B4-BE49-F238E27FC236}">
              <a16:creationId xmlns:a16="http://schemas.microsoft.com/office/drawing/2014/main" id="{00000000-0008-0000-0E00-00002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0" name="CustomShape 1">
          <a:extLst>
            <a:ext uri="{FF2B5EF4-FFF2-40B4-BE49-F238E27FC236}">
              <a16:creationId xmlns:a16="http://schemas.microsoft.com/office/drawing/2014/main" id="{00000000-0008-0000-0E00-00003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1" name="CustomShape 1">
          <a:extLst>
            <a:ext uri="{FF2B5EF4-FFF2-40B4-BE49-F238E27FC236}">
              <a16:creationId xmlns:a16="http://schemas.microsoft.com/office/drawing/2014/main" id="{00000000-0008-0000-0E00-00003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2" name="CustomShape 1">
          <a:extLst>
            <a:ext uri="{FF2B5EF4-FFF2-40B4-BE49-F238E27FC236}">
              <a16:creationId xmlns:a16="http://schemas.microsoft.com/office/drawing/2014/main" id="{00000000-0008-0000-0E00-00003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3" name="CustomShape 1">
          <a:extLst>
            <a:ext uri="{FF2B5EF4-FFF2-40B4-BE49-F238E27FC236}">
              <a16:creationId xmlns:a16="http://schemas.microsoft.com/office/drawing/2014/main" id="{00000000-0008-0000-0E00-00003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4" name="CustomShape 1">
          <a:extLst>
            <a:ext uri="{FF2B5EF4-FFF2-40B4-BE49-F238E27FC236}">
              <a16:creationId xmlns:a16="http://schemas.microsoft.com/office/drawing/2014/main" id="{00000000-0008-0000-0E00-00003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5" name="CustomShape 1">
          <a:extLst>
            <a:ext uri="{FF2B5EF4-FFF2-40B4-BE49-F238E27FC236}">
              <a16:creationId xmlns:a16="http://schemas.microsoft.com/office/drawing/2014/main" id="{00000000-0008-0000-0E00-00003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6" name="CustomShape 1">
          <a:extLst>
            <a:ext uri="{FF2B5EF4-FFF2-40B4-BE49-F238E27FC236}">
              <a16:creationId xmlns:a16="http://schemas.microsoft.com/office/drawing/2014/main" id="{00000000-0008-0000-0E00-00003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7" name="CustomShape 1">
          <a:extLst>
            <a:ext uri="{FF2B5EF4-FFF2-40B4-BE49-F238E27FC236}">
              <a16:creationId xmlns:a16="http://schemas.microsoft.com/office/drawing/2014/main" id="{00000000-0008-0000-0E00-00003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8" name="CustomShape 1">
          <a:extLst>
            <a:ext uri="{FF2B5EF4-FFF2-40B4-BE49-F238E27FC236}">
              <a16:creationId xmlns:a16="http://schemas.microsoft.com/office/drawing/2014/main" id="{00000000-0008-0000-0E00-00003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9" name="CustomShape 1">
          <a:extLst>
            <a:ext uri="{FF2B5EF4-FFF2-40B4-BE49-F238E27FC236}">
              <a16:creationId xmlns:a16="http://schemas.microsoft.com/office/drawing/2014/main" id="{00000000-0008-0000-0E00-00003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0" name="CustomShape 1">
          <a:extLst>
            <a:ext uri="{FF2B5EF4-FFF2-40B4-BE49-F238E27FC236}">
              <a16:creationId xmlns:a16="http://schemas.microsoft.com/office/drawing/2014/main" id="{00000000-0008-0000-0E00-00003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1" name="CustomShape 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2" name="CustomShape 1">
          <a:extLst>
            <a:ext uri="{FF2B5EF4-FFF2-40B4-BE49-F238E27FC236}">
              <a16:creationId xmlns:a16="http://schemas.microsoft.com/office/drawing/2014/main" id="{00000000-0008-0000-0E00-00003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3" name="CustomShape 1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4" name="CustomShape 1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5" name="CustomShape 1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6" name="CustomShape 1">
          <a:extLst>
            <a:ext uri="{FF2B5EF4-FFF2-40B4-BE49-F238E27FC236}">
              <a16:creationId xmlns:a16="http://schemas.microsoft.com/office/drawing/2014/main" id="{00000000-0008-0000-0E00-00004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7" name="CustomShape 1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8" name="CustomShape 1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9" name="CustomShape 1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0" name="CustomShape 1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1" name="CustomShape 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2" name="CustomShape 1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3" name="CustomShape 1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4" name="CustomShape 1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5" name="CustomShape 1">
          <a:extLst>
            <a:ext uri="{FF2B5EF4-FFF2-40B4-BE49-F238E27FC236}">
              <a16:creationId xmlns:a16="http://schemas.microsoft.com/office/drawing/2014/main" id="{00000000-0008-0000-0E00-00004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6" name="CustomShape 1">
          <a:extLst>
            <a:ext uri="{FF2B5EF4-FFF2-40B4-BE49-F238E27FC236}">
              <a16:creationId xmlns:a16="http://schemas.microsoft.com/office/drawing/2014/main" id="{00000000-0008-0000-0E00-00004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7" name="CustomShape 1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8" name="CustomShape 1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9" name="CustomShape 1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0" name="CustomShape 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1" name="CustomShape 1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2" name="CustomShape 1">
          <a:extLst>
            <a:ext uri="{FF2B5EF4-FFF2-40B4-BE49-F238E27FC236}">
              <a16:creationId xmlns:a16="http://schemas.microsoft.com/office/drawing/2014/main" id="{00000000-0008-0000-0E00-00005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3" name="CustomShape 1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4" name="CustomShape 1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5" name="CustomShape 1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6" name="CustomShape 1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7" name="CustomShape 1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8" name="CustomShape 1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9" name="CustomShape 1">
          <a:extLst>
            <a:ext uri="{FF2B5EF4-FFF2-40B4-BE49-F238E27FC236}">
              <a16:creationId xmlns:a16="http://schemas.microsoft.com/office/drawing/2014/main" id="{00000000-0008-0000-0E00-00005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00" name="CustomShape 1">
          <a:extLst>
            <a:ext uri="{FF2B5EF4-FFF2-40B4-BE49-F238E27FC236}">
              <a16:creationId xmlns:a16="http://schemas.microsoft.com/office/drawing/2014/main" id="{00000000-0008-0000-0F00-000058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01" name="CustomShape 1">
          <a:extLst>
            <a:ext uri="{FF2B5EF4-FFF2-40B4-BE49-F238E27FC236}">
              <a16:creationId xmlns:a16="http://schemas.microsoft.com/office/drawing/2014/main" id="{00000000-0008-0000-0F00-000059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02" name="CustomShape 1">
          <a:extLst>
            <a:ext uri="{FF2B5EF4-FFF2-40B4-BE49-F238E27FC236}">
              <a16:creationId xmlns:a16="http://schemas.microsoft.com/office/drawing/2014/main" id="{00000000-0008-0000-0F00-00005A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03" name="CustomShape 1">
          <a:extLst>
            <a:ext uri="{FF2B5EF4-FFF2-40B4-BE49-F238E27FC236}">
              <a16:creationId xmlns:a16="http://schemas.microsoft.com/office/drawing/2014/main" id="{00000000-0008-0000-0F00-00005B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04" name="CustomShape 1">
          <a:extLst>
            <a:ext uri="{FF2B5EF4-FFF2-40B4-BE49-F238E27FC236}">
              <a16:creationId xmlns:a16="http://schemas.microsoft.com/office/drawing/2014/main" id="{00000000-0008-0000-0F00-00005C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05" name="CustomShape 1">
          <a:extLst>
            <a:ext uri="{FF2B5EF4-FFF2-40B4-BE49-F238E27FC236}">
              <a16:creationId xmlns:a16="http://schemas.microsoft.com/office/drawing/2014/main" id="{00000000-0008-0000-0F00-00005D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06" name="CustomShape 1">
          <a:extLst>
            <a:ext uri="{FF2B5EF4-FFF2-40B4-BE49-F238E27FC236}">
              <a16:creationId xmlns:a16="http://schemas.microsoft.com/office/drawing/2014/main" id="{00000000-0008-0000-0F00-00005E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07" name="CustomShape 1">
          <a:extLst>
            <a:ext uri="{FF2B5EF4-FFF2-40B4-BE49-F238E27FC236}">
              <a16:creationId xmlns:a16="http://schemas.microsoft.com/office/drawing/2014/main" id="{00000000-0008-0000-0F00-00005F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08" name="CustomShape 1">
          <a:extLst>
            <a:ext uri="{FF2B5EF4-FFF2-40B4-BE49-F238E27FC236}">
              <a16:creationId xmlns:a16="http://schemas.microsoft.com/office/drawing/2014/main" id="{00000000-0008-0000-0F00-000060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09" name="CustomShape 1">
          <a:extLst>
            <a:ext uri="{FF2B5EF4-FFF2-40B4-BE49-F238E27FC236}">
              <a16:creationId xmlns:a16="http://schemas.microsoft.com/office/drawing/2014/main" id="{00000000-0008-0000-0F00-00006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10" name="CustomShape 1">
          <a:extLst>
            <a:ext uri="{FF2B5EF4-FFF2-40B4-BE49-F238E27FC236}">
              <a16:creationId xmlns:a16="http://schemas.microsoft.com/office/drawing/2014/main" id="{00000000-0008-0000-0F00-00006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11" name="CustomShape 1">
          <a:extLst>
            <a:ext uri="{FF2B5EF4-FFF2-40B4-BE49-F238E27FC236}">
              <a16:creationId xmlns:a16="http://schemas.microsoft.com/office/drawing/2014/main" id="{00000000-0008-0000-0F00-000063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2" name="CustomShape 1">
          <a:extLst>
            <a:ext uri="{FF2B5EF4-FFF2-40B4-BE49-F238E27FC236}">
              <a16:creationId xmlns:a16="http://schemas.microsoft.com/office/drawing/2014/main" id="{00000000-0008-0000-0F00-00006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3" name="CustomShape 1">
          <a:extLst>
            <a:ext uri="{FF2B5EF4-FFF2-40B4-BE49-F238E27FC236}">
              <a16:creationId xmlns:a16="http://schemas.microsoft.com/office/drawing/2014/main" id="{00000000-0008-0000-0F00-00006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4" name="CustomShape 1">
          <a:extLst>
            <a:ext uri="{FF2B5EF4-FFF2-40B4-BE49-F238E27FC236}">
              <a16:creationId xmlns:a16="http://schemas.microsoft.com/office/drawing/2014/main" id="{00000000-0008-0000-0F00-000066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5" name="CustomShape 1">
          <a:extLst>
            <a:ext uri="{FF2B5EF4-FFF2-40B4-BE49-F238E27FC236}">
              <a16:creationId xmlns:a16="http://schemas.microsoft.com/office/drawing/2014/main" id="{00000000-0008-0000-0F00-000067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6" name="CustomShape 1">
          <a:extLst>
            <a:ext uri="{FF2B5EF4-FFF2-40B4-BE49-F238E27FC236}">
              <a16:creationId xmlns:a16="http://schemas.microsoft.com/office/drawing/2014/main" id="{00000000-0008-0000-0F00-000068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7" name="CustomShape 1">
          <a:extLst>
            <a:ext uri="{FF2B5EF4-FFF2-40B4-BE49-F238E27FC236}">
              <a16:creationId xmlns:a16="http://schemas.microsoft.com/office/drawing/2014/main" id="{00000000-0008-0000-0F00-00006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8" name="CustomShape 1">
          <a:extLst>
            <a:ext uri="{FF2B5EF4-FFF2-40B4-BE49-F238E27FC236}">
              <a16:creationId xmlns:a16="http://schemas.microsoft.com/office/drawing/2014/main" id="{00000000-0008-0000-0F00-00006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19" name="CustomShape 1">
          <a:extLst>
            <a:ext uri="{FF2B5EF4-FFF2-40B4-BE49-F238E27FC236}">
              <a16:creationId xmlns:a16="http://schemas.microsoft.com/office/drawing/2014/main" id="{00000000-0008-0000-0F00-00006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0" name="CustomShape 1">
          <a:extLst>
            <a:ext uri="{FF2B5EF4-FFF2-40B4-BE49-F238E27FC236}">
              <a16:creationId xmlns:a16="http://schemas.microsoft.com/office/drawing/2014/main" id="{00000000-0008-0000-0F00-00006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1" name="CustomShape 1">
          <a:extLst>
            <a:ext uri="{FF2B5EF4-FFF2-40B4-BE49-F238E27FC236}">
              <a16:creationId xmlns:a16="http://schemas.microsoft.com/office/drawing/2014/main" id="{00000000-0008-0000-0F00-00006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2" name="CustomShape 1">
          <a:extLst>
            <a:ext uri="{FF2B5EF4-FFF2-40B4-BE49-F238E27FC236}">
              <a16:creationId xmlns:a16="http://schemas.microsoft.com/office/drawing/2014/main" id="{00000000-0008-0000-0F00-00006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3" name="CustomShape 1">
          <a:extLst>
            <a:ext uri="{FF2B5EF4-FFF2-40B4-BE49-F238E27FC236}">
              <a16:creationId xmlns:a16="http://schemas.microsoft.com/office/drawing/2014/main" id="{00000000-0008-0000-0F00-00006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4" name="CustomShape 1">
          <a:extLst>
            <a:ext uri="{FF2B5EF4-FFF2-40B4-BE49-F238E27FC236}">
              <a16:creationId xmlns:a16="http://schemas.microsoft.com/office/drawing/2014/main" id="{00000000-0008-0000-0F00-00007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5" name="CustomShape 1">
          <a:extLst>
            <a:ext uri="{FF2B5EF4-FFF2-40B4-BE49-F238E27FC236}">
              <a16:creationId xmlns:a16="http://schemas.microsoft.com/office/drawing/2014/main" id="{00000000-0008-0000-0F00-00007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6" name="CustomShape 1">
          <a:extLst>
            <a:ext uri="{FF2B5EF4-FFF2-40B4-BE49-F238E27FC236}">
              <a16:creationId xmlns:a16="http://schemas.microsoft.com/office/drawing/2014/main" id="{00000000-0008-0000-0F00-00007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7" name="CustomShape 1">
          <a:extLst>
            <a:ext uri="{FF2B5EF4-FFF2-40B4-BE49-F238E27FC236}">
              <a16:creationId xmlns:a16="http://schemas.microsoft.com/office/drawing/2014/main" id="{00000000-0008-0000-0F00-00007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8" name="CustomShape 1">
          <a:extLst>
            <a:ext uri="{FF2B5EF4-FFF2-40B4-BE49-F238E27FC236}">
              <a16:creationId xmlns:a16="http://schemas.microsoft.com/office/drawing/2014/main" id="{00000000-0008-0000-0F00-00007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9" name="CustomShape 1">
          <a:extLst>
            <a:ext uri="{FF2B5EF4-FFF2-40B4-BE49-F238E27FC236}">
              <a16:creationId xmlns:a16="http://schemas.microsoft.com/office/drawing/2014/main" id="{00000000-0008-0000-0F00-00007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0" name="CustomShape 1">
          <a:extLst>
            <a:ext uri="{FF2B5EF4-FFF2-40B4-BE49-F238E27FC236}">
              <a16:creationId xmlns:a16="http://schemas.microsoft.com/office/drawing/2014/main" id="{00000000-0008-0000-0F00-00007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1" name="CustomShape 1">
          <a:extLst>
            <a:ext uri="{FF2B5EF4-FFF2-40B4-BE49-F238E27FC236}">
              <a16:creationId xmlns:a16="http://schemas.microsoft.com/office/drawing/2014/main" id="{00000000-0008-0000-0F00-00007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2" name="CustomShape 1">
          <a:extLst>
            <a:ext uri="{FF2B5EF4-FFF2-40B4-BE49-F238E27FC236}">
              <a16:creationId xmlns:a16="http://schemas.microsoft.com/office/drawing/2014/main" id="{00000000-0008-0000-0F00-00007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3" name="CustomShape 1">
          <a:extLst>
            <a:ext uri="{FF2B5EF4-FFF2-40B4-BE49-F238E27FC236}">
              <a16:creationId xmlns:a16="http://schemas.microsoft.com/office/drawing/2014/main" id="{00000000-0008-0000-0F00-00007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4" name="CustomShape 1">
          <a:extLst>
            <a:ext uri="{FF2B5EF4-FFF2-40B4-BE49-F238E27FC236}">
              <a16:creationId xmlns:a16="http://schemas.microsoft.com/office/drawing/2014/main" id="{00000000-0008-0000-0F00-00007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5" name="CustomShape 1">
          <a:extLst>
            <a:ext uri="{FF2B5EF4-FFF2-40B4-BE49-F238E27FC236}">
              <a16:creationId xmlns:a16="http://schemas.microsoft.com/office/drawing/2014/main" id="{00000000-0008-0000-0F00-00007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6" name="CustomShape 1">
          <a:extLst>
            <a:ext uri="{FF2B5EF4-FFF2-40B4-BE49-F238E27FC236}">
              <a16:creationId xmlns:a16="http://schemas.microsoft.com/office/drawing/2014/main" id="{00000000-0008-0000-0F00-00007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7" name="CustomShape 1">
          <a:extLst>
            <a:ext uri="{FF2B5EF4-FFF2-40B4-BE49-F238E27FC236}">
              <a16:creationId xmlns:a16="http://schemas.microsoft.com/office/drawing/2014/main" id="{00000000-0008-0000-0F00-00007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8" name="CustomShape 1">
          <a:extLst>
            <a:ext uri="{FF2B5EF4-FFF2-40B4-BE49-F238E27FC236}">
              <a16:creationId xmlns:a16="http://schemas.microsoft.com/office/drawing/2014/main" id="{00000000-0008-0000-0F00-00007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9" name="CustomShape 1">
          <a:extLst>
            <a:ext uri="{FF2B5EF4-FFF2-40B4-BE49-F238E27FC236}">
              <a16:creationId xmlns:a16="http://schemas.microsoft.com/office/drawing/2014/main" id="{00000000-0008-0000-0F00-00007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0" name="CustomShape 1">
          <a:extLst>
            <a:ext uri="{FF2B5EF4-FFF2-40B4-BE49-F238E27FC236}">
              <a16:creationId xmlns:a16="http://schemas.microsoft.com/office/drawing/2014/main" id="{00000000-0008-0000-0F00-00008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1" name="CustomShape 1">
          <a:extLst>
            <a:ext uri="{FF2B5EF4-FFF2-40B4-BE49-F238E27FC236}">
              <a16:creationId xmlns:a16="http://schemas.microsoft.com/office/drawing/2014/main" id="{00000000-0008-0000-0F00-00008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2" name="CustomShape 1">
          <a:extLst>
            <a:ext uri="{FF2B5EF4-FFF2-40B4-BE49-F238E27FC236}">
              <a16:creationId xmlns:a16="http://schemas.microsoft.com/office/drawing/2014/main" id="{00000000-0008-0000-0F00-00008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3" name="CustomShape 1">
          <a:extLst>
            <a:ext uri="{FF2B5EF4-FFF2-40B4-BE49-F238E27FC236}">
              <a16:creationId xmlns:a16="http://schemas.microsoft.com/office/drawing/2014/main" id="{00000000-0008-0000-0F00-00008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4" name="CustomShape 1">
          <a:extLst>
            <a:ext uri="{FF2B5EF4-FFF2-40B4-BE49-F238E27FC236}">
              <a16:creationId xmlns:a16="http://schemas.microsoft.com/office/drawing/2014/main" id="{00000000-0008-0000-0F00-00008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5" name="CustomShape 1">
          <a:extLst>
            <a:ext uri="{FF2B5EF4-FFF2-40B4-BE49-F238E27FC236}">
              <a16:creationId xmlns:a16="http://schemas.microsoft.com/office/drawing/2014/main" id="{00000000-0008-0000-0F00-00008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6" name="CustomShape 1">
          <a:extLst>
            <a:ext uri="{FF2B5EF4-FFF2-40B4-BE49-F238E27FC236}">
              <a16:creationId xmlns:a16="http://schemas.microsoft.com/office/drawing/2014/main" id="{00000000-0008-0000-0F00-00008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7" name="CustomShape 1">
          <a:extLst>
            <a:ext uri="{FF2B5EF4-FFF2-40B4-BE49-F238E27FC236}">
              <a16:creationId xmlns:a16="http://schemas.microsoft.com/office/drawing/2014/main" id="{00000000-0008-0000-0F00-00008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8" name="CustomShape 1">
          <a:extLst>
            <a:ext uri="{FF2B5EF4-FFF2-40B4-BE49-F238E27FC236}">
              <a16:creationId xmlns:a16="http://schemas.microsoft.com/office/drawing/2014/main" id="{00000000-0008-0000-0F00-00008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9" name="CustomShape 1">
          <a:extLst>
            <a:ext uri="{FF2B5EF4-FFF2-40B4-BE49-F238E27FC236}">
              <a16:creationId xmlns:a16="http://schemas.microsoft.com/office/drawing/2014/main" id="{00000000-0008-0000-0F00-00008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0" name="CustomShape 1">
          <a:extLst>
            <a:ext uri="{FF2B5EF4-FFF2-40B4-BE49-F238E27FC236}">
              <a16:creationId xmlns:a16="http://schemas.microsoft.com/office/drawing/2014/main" id="{00000000-0008-0000-0F00-00008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51" name="CustomShape 1">
          <a:extLst>
            <a:ext uri="{FF2B5EF4-FFF2-40B4-BE49-F238E27FC236}">
              <a16:creationId xmlns:a16="http://schemas.microsoft.com/office/drawing/2014/main" id="{00000000-0008-0000-0F00-00008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2" name="CustomShape 1">
          <a:extLst>
            <a:ext uri="{FF2B5EF4-FFF2-40B4-BE49-F238E27FC236}">
              <a16:creationId xmlns:a16="http://schemas.microsoft.com/office/drawing/2014/main" id="{00000000-0008-0000-0F00-00008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53" name="CustomShape 1">
          <a:extLst>
            <a:ext uri="{FF2B5EF4-FFF2-40B4-BE49-F238E27FC236}">
              <a16:creationId xmlns:a16="http://schemas.microsoft.com/office/drawing/2014/main" id="{00000000-0008-0000-1000-00008D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54" name="CustomShape 1">
          <a:extLst>
            <a:ext uri="{FF2B5EF4-FFF2-40B4-BE49-F238E27FC236}">
              <a16:creationId xmlns:a16="http://schemas.microsoft.com/office/drawing/2014/main" id="{00000000-0008-0000-1000-00008E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55" name="CustomShape 1">
          <a:extLst>
            <a:ext uri="{FF2B5EF4-FFF2-40B4-BE49-F238E27FC236}">
              <a16:creationId xmlns:a16="http://schemas.microsoft.com/office/drawing/2014/main" id="{00000000-0008-0000-1000-00008F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56" name="CustomShape 1">
          <a:extLst>
            <a:ext uri="{FF2B5EF4-FFF2-40B4-BE49-F238E27FC236}">
              <a16:creationId xmlns:a16="http://schemas.microsoft.com/office/drawing/2014/main" id="{00000000-0008-0000-1000-000090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57" name="CustomShape 1">
          <a:extLst>
            <a:ext uri="{FF2B5EF4-FFF2-40B4-BE49-F238E27FC236}">
              <a16:creationId xmlns:a16="http://schemas.microsoft.com/office/drawing/2014/main" id="{00000000-0008-0000-1000-000091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58" name="CustomShape 1">
          <a:extLst>
            <a:ext uri="{FF2B5EF4-FFF2-40B4-BE49-F238E27FC236}">
              <a16:creationId xmlns:a16="http://schemas.microsoft.com/office/drawing/2014/main" id="{00000000-0008-0000-1000-000092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59" name="CustomShape 1">
          <a:extLst>
            <a:ext uri="{FF2B5EF4-FFF2-40B4-BE49-F238E27FC236}">
              <a16:creationId xmlns:a16="http://schemas.microsoft.com/office/drawing/2014/main" id="{00000000-0008-0000-1000-000093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60" name="CustomShape 1">
          <a:extLst>
            <a:ext uri="{FF2B5EF4-FFF2-40B4-BE49-F238E27FC236}">
              <a16:creationId xmlns:a16="http://schemas.microsoft.com/office/drawing/2014/main" id="{00000000-0008-0000-1000-000094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61" name="CustomShape 1">
          <a:extLst>
            <a:ext uri="{FF2B5EF4-FFF2-40B4-BE49-F238E27FC236}">
              <a16:creationId xmlns:a16="http://schemas.microsoft.com/office/drawing/2014/main" id="{00000000-0008-0000-1000-000095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2" name="CustomShape 1">
          <a:extLst>
            <a:ext uri="{FF2B5EF4-FFF2-40B4-BE49-F238E27FC236}">
              <a16:creationId xmlns:a16="http://schemas.microsoft.com/office/drawing/2014/main" id="{00000000-0008-0000-1000-00009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63" name="CustomShape 1">
          <a:extLst>
            <a:ext uri="{FF2B5EF4-FFF2-40B4-BE49-F238E27FC236}">
              <a16:creationId xmlns:a16="http://schemas.microsoft.com/office/drawing/2014/main" id="{00000000-0008-0000-1000-00009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64" name="CustomShape 1">
          <a:extLst>
            <a:ext uri="{FF2B5EF4-FFF2-40B4-BE49-F238E27FC236}">
              <a16:creationId xmlns:a16="http://schemas.microsoft.com/office/drawing/2014/main" id="{00000000-0008-0000-1000-000098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5" name="CustomShape 1">
          <a:extLst>
            <a:ext uri="{FF2B5EF4-FFF2-40B4-BE49-F238E27FC236}">
              <a16:creationId xmlns:a16="http://schemas.microsoft.com/office/drawing/2014/main" id="{00000000-0008-0000-1000-00009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6" name="CustomShape 1">
          <a:extLst>
            <a:ext uri="{FF2B5EF4-FFF2-40B4-BE49-F238E27FC236}">
              <a16:creationId xmlns:a16="http://schemas.microsoft.com/office/drawing/2014/main" id="{00000000-0008-0000-1000-00009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7" name="CustomShape 1">
          <a:extLst>
            <a:ext uri="{FF2B5EF4-FFF2-40B4-BE49-F238E27FC236}">
              <a16:creationId xmlns:a16="http://schemas.microsoft.com/office/drawing/2014/main" id="{00000000-0008-0000-1000-00009B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8" name="CustomShape 1">
          <a:extLst>
            <a:ext uri="{FF2B5EF4-FFF2-40B4-BE49-F238E27FC236}">
              <a16:creationId xmlns:a16="http://schemas.microsoft.com/office/drawing/2014/main" id="{00000000-0008-0000-1000-00009C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9" name="CustomShape 1">
          <a:extLst>
            <a:ext uri="{FF2B5EF4-FFF2-40B4-BE49-F238E27FC236}">
              <a16:creationId xmlns:a16="http://schemas.microsoft.com/office/drawing/2014/main" id="{00000000-0008-0000-1000-00009D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0" name="CustomShape 1">
          <a:extLst>
            <a:ext uri="{FF2B5EF4-FFF2-40B4-BE49-F238E27FC236}">
              <a16:creationId xmlns:a16="http://schemas.microsoft.com/office/drawing/2014/main" id="{00000000-0008-0000-1000-00009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1" name="CustomShape 1">
          <a:extLst>
            <a:ext uri="{FF2B5EF4-FFF2-40B4-BE49-F238E27FC236}">
              <a16:creationId xmlns:a16="http://schemas.microsoft.com/office/drawing/2014/main" id="{00000000-0008-0000-1000-00009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2" name="CustomShape 1">
          <a:extLst>
            <a:ext uri="{FF2B5EF4-FFF2-40B4-BE49-F238E27FC236}">
              <a16:creationId xmlns:a16="http://schemas.microsoft.com/office/drawing/2014/main" id="{00000000-0008-0000-1000-0000A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3" name="CustomShape 1">
          <a:extLst>
            <a:ext uri="{FF2B5EF4-FFF2-40B4-BE49-F238E27FC236}">
              <a16:creationId xmlns:a16="http://schemas.microsoft.com/office/drawing/2014/main" id="{00000000-0008-0000-1000-0000A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4" name="CustomShape 1">
          <a:extLst>
            <a:ext uri="{FF2B5EF4-FFF2-40B4-BE49-F238E27FC236}">
              <a16:creationId xmlns:a16="http://schemas.microsoft.com/office/drawing/2014/main" id="{00000000-0008-0000-1000-0000A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5" name="CustomShape 1">
          <a:extLst>
            <a:ext uri="{FF2B5EF4-FFF2-40B4-BE49-F238E27FC236}">
              <a16:creationId xmlns:a16="http://schemas.microsoft.com/office/drawing/2014/main" id="{00000000-0008-0000-1000-0000A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6" name="CustomShape 1">
          <a:extLst>
            <a:ext uri="{FF2B5EF4-FFF2-40B4-BE49-F238E27FC236}">
              <a16:creationId xmlns:a16="http://schemas.microsoft.com/office/drawing/2014/main" id="{00000000-0008-0000-1000-0000A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7" name="CustomShape 1">
          <a:extLst>
            <a:ext uri="{FF2B5EF4-FFF2-40B4-BE49-F238E27FC236}">
              <a16:creationId xmlns:a16="http://schemas.microsoft.com/office/drawing/2014/main" id="{00000000-0008-0000-1000-0000A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8" name="CustomShape 1">
          <a:extLst>
            <a:ext uri="{FF2B5EF4-FFF2-40B4-BE49-F238E27FC236}">
              <a16:creationId xmlns:a16="http://schemas.microsoft.com/office/drawing/2014/main" id="{00000000-0008-0000-1000-0000A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9" name="CustomShape 1">
          <a:extLst>
            <a:ext uri="{FF2B5EF4-FFF2-40B4-BE49-F238E27FC236}">
              <a16:creationId xmlns:a16="http://schemas.microsoft.com/office/drawing/2014/main" id="{00000000-0008-0000-1000-0000A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0" name="CustomShape 1">
          <a:extLst>
            <a:ext uri="{FF2B5EF4-FFF2-40B4-BE49-F238E27FC236}">
              <a16:creationId xmlns:a16="http://schemas.microsoft.com/office/drawing/2014/main" id="{00000000-0008-0000-1000-0000A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1" name="CustomShape 1">
          <a:extLst>
            <a:ext uri="{FF2B5EF4-FFF2-40B4-BE49-F238E27FC236}">
              <a16:creationId xmlns:a16="http://schemas.microsoft.com/office/drawing/2014/main" id="{00000000-0008-0000-1000-0000A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2" name="CustomShape 1">
          <a:extLst>
            <a:ext uri="{FF2B5EF4-FFF2-40B4-BE49-F238E27FC236}">
              <a16:creationId xmlns:a16="http://schemas.microsoft.com/office/drawing/2014/main" id="{00000000-0008-0000-1000-0000A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3" name="CustomShape 1">
          <a:extLst>
            <a:ext uri="{FF2B5EF4-FFF2-40B4-BE49-F238E27FC236}">
              <a16:creationId xmlns:a16="http://schemas.microsoft.com/office/drawing/2014/main" id="{00000000-0008-0000-1000-0000A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4" name="CustomShape 1">
          <a:extLst>
            <a:ext uri="{FF2B5EF4-FFF2-40B4-BE49-F238E27FC236}">
              <a16:creationId xmlns:a16="http://schemas.microsoft.com/office/drawing/2014/main" id="{00000000-0008-0000-1000-0000A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5" name="CustomShape 1">
          <a:extLst>
            <a:ext uri="{FF2B5EF4-FFF2-40B4-BE49-F238E27FC236}">
              <a16:creationId xmlns:a16="http://schemas.microsoft.com/office/drawing/2014/main" id="{00000000-0008-0000-1000-0000A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6" name="CustomShape 1">
          <a:extLst>
            <a:ext uri="{FF2B5EF4-FFF2-40B4-BE49-F238E27FC236}">
              <a16:creationId xmlns:a16="http://schemas.microsoft.com/office/drawing/2014/main" id="{00000000-0008-0000-1000-0000A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7" name="CustomShape 1">
          <a:extLst>
            <a:ext uri="{FF2B5EF4-FFF2-40B4-BE49-F238E27FC236}">
              <a16:creationId xmlns:a16="http://schemas.microsoft.com/office/drawing/2014/main" id="{00000000-0008-0000-1000-0000A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8" name="CustomShape 1">
          <a:extLst>
            <a:ext uri="{FF2B5EF4-FFF2-40B4-BE49-F238E27FC236}">
              <a16:creationId xmlns:a16="http://schemas.microsoft.com/office/drawing/2014/main" id="{00000000-0008-0000-1000-0000B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9" name="CustomShape 1">
          <a:extLst>
            <a:ext uri="{FF2B5EF4-FFF2-40B4-BE49-F238E27FC236}">
              <a16:creationId xmlns:a16="http://schemas.microsoft.com/office/drawing/2014/main" id="{00000000-0008-0000-1000-0000B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0" name="CustomShape 1">
          <a:extLst>
            <a:ext uri="{FF2B5EF4-FFF2-40B4-BE49-F238E27FC236}">
              <a16:creationId xmlns:a16="http://schemas.microsoft.com/office/drawing/2014/main" id="{00000000-0008-0000-1000-0000B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1" name="CustomShape 1">
          <a:extLst>
            <a:ext uri="{FF2B5EF4-FFF2-40B4-BE49-F238E27FC236}">
              <a16:creationId xmlns:a16="http://schemas.microsoft.com/office/drawing/2014/main" id="{00000000-0008-0000-1000-0000B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2" name="CustomShape 1">
          <a:extLst>
            <a:ext uri="{FF2B5EF4-FFF2-40B4-BE49-F238E27FC236}">
              <a16:creationId xmlns:a16="http://schemas.microsoft.com/office/drawing/2014/main" id="{00000000-0008-0000-1000-0000B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3" name="CustomShape 1">
          <a:extLst>
            <a:ext uri="{FF2B5EF4-FFF2-40B4-BE49-F238E27FC236}">
              <a16:creationId xmlns:a16="http://schemas.microsoft.com/office/drawing/2014/main" id="{00000000-0008-0000-1000-0000B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4" name="CustomShape 1">
          <a:extLst>
            <a:ext uri="{FF2B5EF4-FFF2-40B4-BE49-F238E27FC236}">
              <a16:creationId xmlns:a16="http://schemas.microsoft.com/office/drawing/2014/main" id="{00000000-0008-0000-1000-0000B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5" name="CustomShape 1">
          <a:extLst>
            <a:ext uri="{FF2B5EF4-FFF2-40B4-BE49-F238E27FC236}">
              <a16:creationId xmlns:a16="http://schemas.microsoft.com/office/drawing/2014/main" id="{00000000-0008-0000-1000-0000B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6" name="CustomShape 1">
          <a:extLst>
            <a:ext uri="{FF2B5EF4-FFF2-40B4-BE49-F238E27FC236}">
              <a16:creationId xmlns:a16="http://schemas.microsoft.com/office/drawing/2014/main" id="{00000000-0008-0000-1000-0000B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7" name="CustomShape 1">
          <a:extLst>
            <a:ext uri="{FF2B5EF4-FFF2-40B4-BE49-F238E27FC236}">
              <a16:creationId xmlns:a16="http://schemas.microsoft.com/office/drawing/2014/main" id="{00000000-0008-0000-1000-0000B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8" name="CustomShape 1">
          <a:extLst>
            <a:ext uri="{FF2B5EF4-FFF2-40B4-BE49-F238E27FC236}">
              <a16:creationId xmlns:a16="http://schemas.microsoft.com/office/drawing/2014/main" id="{00000000-0008-0000-1000-0000B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9" name="CustomShape 1">
          <a:extLst>
            <a:ext uri="{FF2B5EF4-FFF2-40B4-BE49-F238E27FC236}">
              <a16:creationId xmlns:a16="http://schemas.microsoft.com/office/drawing/2014/main" id="{00000000-0008-0000-1000-0000B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0" name="CustomShape 1">
          <a:extLst>
            <a:ext uri="{FF2B5EF4-FFF2-40B4-BE49-F238E27FC236}">
              <a16:creationId xmlns:a16="http://schemas.microsoft.com/office/drawing/2014/main" id="{00000000-0008-0000-1000-0000B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1" name="CustomShape 1">
          <a:extLst>
            <a:ext uri="{FF2B5EF4-FFF2-40B4-BE49-F238E27FC236}">
              <a16:creationId xmlns:a16="http://schemas.microsoft.com/office/drawing/2014/main" id="{00000000-0008-0000-1000-0000B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2" name="CustomShape 1">
          <a:extLst>
            <a:ext uri="{FF2B5EF4-FFF2-40B4-BE49-F238E27FC236}">
              <a16:creationId xmlns:a16="http://schemas.microsoft.com/office/drawing/2014/main" id="{00000000-0008-0000-1000-0000B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3" name="CustomShape 1">
          <a:extLst>
            <a:ext uri="{FF2B5EF4-FFF2-40B4-BE49-F238E27FC236}">
              <a16:creationId xmlns:a16="http://schemas.microsoft.com/office/drawing/2014/main" id="{00000000-0008-0000-1000-0000B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4" name="CustomShape 1">
          <a:extLst>
            <a:ext uri="{FF2B5EF4-FFF2-40B4-BE49-F238E27FC236}">
              <a16:creationId xmlns:a16="http://schemas.microsoft.com/office/drawing/2014/main" id="{00000000-0008-0000-1000-0000C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5" name="CustomShape 1">
          <a:extLst>
            <a:ext uri="{FF2B5EF4-FFF2-40B4-BE49-F238E27FC236}">
              <a16:creationId xmlns:a16="http://schemas.microsoft.com/office/drawing/2014/main" id="{00000000-0008-0000-1000-0000C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06" name="CustomShape 1">
          <a:extLst>
            <a:ext uri="{FF2B5EF4-FFF2-40B4-BE49-F238E27FC236}">
              <a16:creationId xmlns:a16="http://schemas.microsoft.com/office/drawing/2014/main" id="{00000000-0008-0000-1100-0000C2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07" name="CustomShape 1">
          <a:extLst>
            <a:ext uri="{FF2B5EF4-FFF2-40B4-BE49-F238E27FC236}">
              <a16:creationId xmlns:a16="http://schemas.microsoft.com/office/drawing/2014/main" id="{00000000-0008-0000-1100-0000C3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08" name="CustomShape 1">
          <a:extLst>
            <a:ext uri="{FF2B5EF4-FFF2-40B4-BE49-F238E27FC236}">
              <a16:creationId xmlns:a16="http://schemas.microsoft.com/office/drawing/2014/main" id="{00000000-0008-0000-1100-0000C4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09" name="CustomShape 1">
          <a:extLst>
            <a:ext uri="{FF2B5EF4-FFF2-40B4-BE49-F238E27FC236}">
              <a16:creationId xmlns:a16="http://schemas.microsoft.com/office/drawing/2014/main" id="{00000000-0008-0000-1100-0000C5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10" name="CustomShape 1">
          <a:extLst>
            <a:ext uri="{FF2B5EF4-FFF2-40B4-BE49-F238E27FC236}">
              <a16:creationId xmlns:a16="http://schemas.microsoft.com/office/drawing/2014/main" id="{00000000-0008-0000-1100-0000C6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11" name="CustomShape 1">
          <a:extLst>
            <a:ext uri="{FF2B5EF4-FFF2-40B4-BE49-F238E27FC236}">
              <a16:creationId xmlns:a16="http://schemas.microsoft.com/office/drawing/2014/main" id="{00000000-0008-0000-1100-0000C7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12" name="CustomShape 1">
          <a:extLst>
            <a:ext uri="{FF2B5EF4-FFF2-40B4-BE49-F238E27FC236}">
              <a16:creationId xmlns:a16="http://schemas.microsoft.com/office/drawing/2014/main" id="{00000000-0008-0000-1100-0000C8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13" name="CustomShape 1">
          <a:extLst>
            <a:ext uri="{FF2B5EF4-FFF2-40B4-BE49-F238E27FC236}">
              <a16:creationId xmlns:a16="http://schemas.microsoft.com/office/drawing/2014/main" id="{00000000-0008-0000-1100-0000C9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14" name="CustomShape 1">
          <a:extLst>
            <a:ext uri="{FF2B5EF4-FFF2-40B4-BE49-F238E27FC236}">
              <a16:creationId xmlns:a16="http://schemas.microsoft.com/office/drawing/2014/main" id="{00000000-0008-0000-1100-0000CA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15" name="CustomShape 1">
          <a:extLst>
            <a:ext uri="{FF2B5EF4-FFF2-40B4-BE49-F238E27FC236}">
              <a16:creationId xmlns:a16="http://schemas.microsoft.com/office/drawing/2014/main" id="{00000000-0008-0000-1100-0000C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6" name="CustomShape 1">
          <a:extLst>
            <a:ext uri="{FF2B5EF4-FFF2-40B4-BE49-F238E27FC236}">
              <a16:creationId xmlns:a16="http://schemas.microsoft.com/office/drawing/2014/main" id="{00000000-0008-0000-1100-0000C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17" name="CustomShape 1">
          <a:extLst>
            <a:ext uri="{FF2B5EF4-FFF2-40B4-BE49-F238E27FC236}">
              <a16:creationId xmlns:a16="http://schemas.microsoft.com/office/drawing/2014/main" id="{00000000-0008-0000-1100-0000CD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8" name="CustomShape 1">
          <a:extLst>
            <a:ext uri="{FF2B5EF4-FFF2-40B4-BE49-F238E27FC236}">
              <a16:creationId xmlns:a16="http://schemas.microsoft.com/office/drawing/2014/main" id="{00000000-0008-0000-1100-0000C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9" name="CustomShape 1">
          <a:extLst>
            <a:ext uri="{FF2B5EF4-FFF2-40B4-BE49-F238E27FC236}">
              <a16:creationId xmlns:a16="http://schemas.microsoft.com/office/drawing/2014/main" id="{00000000-0008-0000-1100-0000C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0" name="CustomShape 1">
          <a:extLst>
            <a:ext uri="{FF2B5EF4-FFF2-40B4-BE49-F238E27FC236}">
              <a16:creationId xmlns:a16="http://schemas.microsoft.com/office/drawing/2014/main" id="{00000000-0008-0000-1100-0000D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1" name="CustomShape 1">
          <a:extLst>
            <a:ext uri="{FF2B5EF4-FFF2-40B4-BE49-F238E27FC236}">
              <a16:creationId xmlns:a16="http://schemas.microsoft.com/office/drawing/2014/main" id="{00000000-0008-0000-1100-0000D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2" name="CustomShape 1">
          <a:extLst>
            <a:ext uri="{FF2B5EF4-FFF2-40B4-BE49-F238E27FC236}">
              <a16:creationId xmlns:a16="http://schemas.microsoft.com/office/drawing/2014/main" id="{00000000-0008-0000-1100-0000D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3" name="CustomShape 1">
          <a:extLst>
            <a:ext uri="{FF2B5EF4-FFF2-40B4-BE49-F238E27FC236}">
              <a16:creationId xmlns:a16="http://schemas.microsoft.com/office/drawing/2014/main" id="{00000000-0008-0000-1100-0000D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4" name="CustomShape 1">
          <a:extLst>
            <a:ext uri="{FF2B5EF4-FFF2-40B4-BE49-F238E27FC236}">
              <a16:creationId xmlns:a16="http://schemas.microsoft.com/office/drawing/2014/main" id="{00000000-0008-0000-1100-0000D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5" name="CustomShape 1">
          <a:extLst>
            <a:ext uri="{FF2B5EF4-FFF2-40B4-BE49-F238E27FC236}">
              <a16:creationId xmlns:a16="http://schemas.microsoft.com/office/drawing/2014/main" id="{00000000-0008-0000-1100-0000D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6" name="CustomShape 1">
          <a:extLst>
            <a:ext uri="{FF2B5EF4-FFF2-40B4-BE49-F238E27FC236}">
              <a16:creationId xmlns:a16="http://schemas.microsoft.com/office/drawing/2014/main" id="{00000000-0008-0000-1100-0000D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7" name="CustomShape 1">
          <a:extLst>
            <a:ext uri="{FF2B5EF4-FFF2-40B4-BE49-F238E27FC236}">
              <a16:creationId xmlns:a16="http://schemas.microsoft.com/office/drawing/2014/main" id="{00000000-0008-0000-1100-0000D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8" name="CustomShape 1">
          <a:extLst>
            <a:ext uri="{FF2B5EF4-FFF2-40B4-BE49-F238E27FC236}">
              <a16:creationId xmlns:a16="http://schemas.microsoft.com/office/drawing/2014/main" id="{00000000-0008-0000-1100-0000D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9" name="CustomShape 1">
          <a:extLst>
            <a:ext uri="{FF2B5EF4-FFF2-40B4-BE49-F238E27FC236}">
              <a16:creationId xmlns:a16="http://schemas.microsoft.com/office/drawing/2014/main" id="{00000000-0008-0000-1100-0000D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0" name="CustomShape 1">
          <a:extLst>
            <a:ext uri="{FF2B5EF4-FFF2-40B4-BE49-F238E27FC236}">
              <a16:creationId xmlns:a16="http://schemas.microsoft.com/office/drawing/2014/main" id="{00000000-0008-0000-1100-0000D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1" name="CustomShape 1">
          <a:extLst>
            <a:ext uri="{FF2B5EF4-FFF2-40B4-BE49-F238E27FC236}">
              <a16:creationId xmlns:a16="http://schemas.microsoft.com/office/drawing/2014/main" id="{00000000-0008-0000-1100-0000D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2" name="CustomShape 1">
          <a:extLst>
            <a:ext uri="{FF2B5EF4-FFF2-40B4-BE49-F238E27FC236}">
              <a16:creationId xmlns:a16="http://schemas.microsoft.com/office/drawing/2014/main" id="{00000000-0008-0000-1100-0000D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3" name="CustomShape 1">
          <a:extLst>
            <a:ext uri="{FF2B5EF4-FFF2-40B4-BE49-F238E27FC236}">
              <a16:creationId xmlns:a16="http://schemas.microsoft.com/office/drawing/2014/main" id="{00000000-0008-0000-1100-0000D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4" name="CustomShape 1">
          <a:extLst>
            <a:ext uri="{FF2B5EF4-FFF2-40B4-BE49-F238E27FC236}">
              <a16:creationId xmlns:a16="http://schemas.microsoft.com/office/drawing/2014/main" id="{00000000-0008-0000-1100-0000D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5" name="CustomShape 1">
          <a:extLst>
            <a:ext uri="{FF2B5EF4-FFF2-40B4-BE49-F238E27FC236}">
              <a16:creationId xmlns:a16="http://schemas.microsoft.com/office/drawing/2014/main" id="{00000000-0008-0000-1100-0000D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6" name="CustomShape 1">
          <a:extLst>
            <a:ext uri="{FF2B5EF4-FFF2-40B4-BE49-F238E27FC236}">
              <a16:creationId xmlns:a16="http://schemas.microsoft.com/office/drawing/2014/main" id="{00000000-0008-0000-1100-0000E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7" name="CustomShape 1">
          <a:extLst>
            <a:ext uri="{FF2B5EF4-FFF2-40B4-BE49-F238E27FC236}">
              <a16:creationId xmlns:a16="http://schemas.microsoft.com/office/drawing/2014/main" id="{00000000-0008-0000-1100-0000E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8" name="CustomShape 1">
          <a:extLst>
            <a:ext uri="{FF2B5EF4-FFF2-40B4-BE49-F238E27FC236}">
              <a16:creationId xmlns:a16="http://schemas.microsoft.com/office/drawing/2014/main" id="{00000000-0008-0000-1100-0000E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9" name="CustomShape 1">
          <a:extLst>
            <a:ext uri="{FF2B5EF4-FFF2-40B4-BE49-F238E27FC236}">
              <a16:creationId xmlns:a16="http://schemas.microsoft.com/office/drawing/2014/main" id="{00000000-0008-0000-1100-0000E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0" name="CustomShape 1">
          <a:extLst>
            <a:ext uri="{FF2B5EF4-FFF2-40B4-BE49-F238E27FC236}">
              <a16:creationId xmlns:a16="http://schemas.microsoft.com/office/drawing/2014/main" id="{00000000-0008-0000-1100-0000E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1" name="CustomShape 1">
          <a:extLst>
            <a:ext uri="{FF2B5EF4-FFF2-40B4-BE49-F238E27FC236}">
              <a16:creationId xmlns:a16="http://schemas.microsoft.com/office/drawing/2014/main" id="{00000000-0008-0000-1100-0000E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2" name="CustomShape 1">
          <a:extLst>
            <a:ext uri="{FF2B5EF4-FFF2-40B4-BE49-F238E27FC236}">
              <a16:creationId xmlns:a16="http://schemas.microsoft.com/office/drawing/2014/main" id="{00000000-0008-0000-1100-0000E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3" name="CustomShape 1">
          <a:extLst>
            <a:ext uri="{FF2B5EF4-FFF2-40B4-BE49-F238E27FC236}">
              <a16:creationId xmlns:a16="http://schemas.microsoft.com/office/drawing/2014/main" id="{00000000-0008-0000-1100-0000E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4" name="CustomShape 1">
          <a:extLst>
            <a:ext uri="{FF2B5EF4-FFF2-40B4-BE49-F238E27FC236}">
              <a16:creationId xmlns:a16="http://schemas.microsoft.com/office/drawing/2014/main" id="{00000000-0008-0000-1100-0000E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5" name="CustomShape 1">
          <a:extLst>
            <a:ext uri="{FF2B5EF4-FFF2-40B4-BE49-F238E27FC236}">
              <a16:creationId xmlns:a16="http://schemas.microsoft.com/office/drawing/2014/main" id="{00000000-0008-0000-1100-0000E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6" name="CustomShape 1">
          <a:extLst>
            <a:ext uri="{FF2B5EF4-FFF2-40B4-BE49-F238E27FC236}">
              <a16:creationId xmlns:a16="http://schemas.microsoft.com/office/drawing/2014/main" id="{00000000-0008-0000-1100-0000E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7" name="CustomShape 1">
          <a:extLst>
            <a:ext uri="{FF2B5EF4-FFF2-40B4-BE49-F238E27FC236}">
              <a16:creationId xmlns:a16="http://schemas.microsoft.com/office/drawing/2014/main" id="{00000000-0008-0000-1100-0000E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8" name="CustomShape 1">
          <a:extLst>
            <a:ext uri="{FF2B5EF4-FFF2-40B4-BE49-F238E27FC236}">
              <a16:creationId xmlns:a16="http://schemas.microsoft.com/office/drawing/2014/main" id="{00000000-0008-0000-1100-0000E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9" name="CustomShape 1">
          <a:extLst>
            <a:ext uri="{FF2B5EF4-FFF2-40B4-BE49-F238E27FC236}">
              <a16:creationId xmlns:a16="http://schemas.microsoft.com/office/drawing/2014/main" id="{00000000-0008-0000-1100-0000E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0" name="CustomShape 1">
          <a:extLst>
            <a:ext uri="{FF2B5EF4-FFF2-40B4-BE49-F238E27FC236}">
              <a16:creationId xmlns:a16="http://schemas.microsoft.com/office/drawing/2014/main" id="{00000000-0008-0000-1100-0000E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1" name="CustomShape 1">
          <a:extLst>
            <a:ext uri="{FF2B5EF4-FFF2-40B4-BE49-F238E27FC236}">
              <a16:creationId xmlns:a16="http://schemas.microsoft.com/office/drawing/2014/main" id="{00000000-0008-0000-1100-0000E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2" name="CustomShape 1">
          <a:extLst>
            <a:ext uri="{FF2B5EF4-FFF2-40B4-BE49-F238E27FC236}">
              <a16:creationId xmlns:a16="http://schemas.microsoft.com/office/drawing/2014/main" id="{00000000-0008-0000-1100-0000F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3" name="CustomShape 1">
          <a:extLst>
            <a:ext uri="{FF2B5EF4-FFF2-40B4-BE49-F238E27FC236}">
              <a16:creationId xmlns:a16="http://schemas.microsoft.com/office/drawing/2014/main" id="{00000000-0008-0000-1100-0000F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4" name="CustomShape 1">
          <a:extLst>
            <a:ext uri="{FF2B5EF4-FFF2-40B4-BE49-F238E27FC236}">
              <a16:creationId xmlns:a16="http://schemas.microsoft.com/office/drawing/2014/main" id="{00000000-0008-0000-1100-0000F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5" name="CustomShape 1">
          <a:extLst>
            <a:ext uri="{FF2B5EF4-FFF2-40B4-BE49-F238E27FC236}">
              <a16:creationId xmlns:a16="http://schemas.microsoft.com/office/drawing/2014/main" id="{00000000-0008-0000-1100-0000F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6" name="CustomShape 1">
          <a:extLst>
            <a:ext uri="{FF2B5EF4-FFF2-40B4-BE49-F238E27FC236}">
              <a16:creationId xmlns:a16="http://schemas.microsoft.com/office/drawing/2014/main" id="{00000000-0008-0000-1100-0000F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7" name="CustomShape 1">
          <a:extLst>
            <a:ext uri="{FF2B5EF4-FFF2-40B4-BE49-F238E27FC236}">
              <a16:creationId xmlns:a16="http://schemas.microsoft.com/office/drawing/2014/main" id="{00000000-0008-0000-1100-0000F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8" name="CustomShape 1">
          <a:extLst>
            <a:ext uri="{FF2B5EF4-FFF2-40B4-BE49-F238E27FC236}">
              <a16:creationId xmlns:a16="http://schemas.microsoft.com/office/drawing/2014/main" id="{00000000-0008-0000-1100-0000F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59" name="CustomShape 1">
          <a:extLst>
            <a:ext uri="{FF2B5EF4-FFF2-40B4-BE49-F238E27FC236}">
              <a16:creationId xmlns:a16="http://schemas.microsoft.com/office/drawing/2014/main" id="{00000000-0008-0000-1200-0000F7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60" name="CustomShape 1">
          <a:extLst>
            <a:ext uri="{FF2B5EF4-FFF2-40B4-BE49-F238E27FC236}">
              <a16:creationId xmlns:a16="http://schemas.microsoft.com/office/drawing/2014/main" id="{00000000-0008-0000-1200-0000F8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61" name="CustomShape 1">
          <a:extLst>
            <a:ext uri="{FF2B5EF4-FFF2-40B4-BE49-F238E27FC236}">
              <a16:creationId xmlns:a16="http://schemas.microsoft.com/office/drawing/2014/main" id="{00000000-0008-0000-1200-0000F9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62" name="CustomShape 1">
          <a:extLst>
            <a:ext uri="{FF2B5EF4-FFF2-40B4-BE49-F238E27FC236}">
              <a16:creationId xmlns:a16="http://schemas.microsoft.com/office/drawing/2014/main" id="{00000000-0008-0000-1200-0000FA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63" name="CustomShape 1">
          <a:extLst>
            <a:ext uri="{FF2B5EF4-FFF2-40B4-BE49-F238E27FC236}">
              <a16:creationId xmlns:a16="http://schemas.microsoft.com/office/drawing/2014/main" id="{00000000-0008-0000-1200-0000FB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64" name="CustomShape 1">
          <a:extLst>
            <a:ext uri="{FF2B5EF4-FFF2-40B4-BE49-F238E27FC236}">
              <a16:creationId xmlns:a16="http://schemas.microsoft.com/office/drawing/2014/main" id="{00000000-0008-0000-1200-0000FC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65" name="CustomShape 1">
          <a:extLst>
            <a:ext uri="{FF2B5EF4-FFF2-40B4-BE49-F238E27FC236}">
              <a16:creationId xmlns:a16="http://schemas.microsoft.com/office/drawing/2014/main" id="{00000000-0008-0000-1200-0000FD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66" name="CustomShape 1">
          <a:extLst>
            <a:ext uri="{FF2B5EF4-FFF2-40B4-BE49-F238E27FC236}">
              <a16:creationId xmlns:a16="http://schemas.microsoft.com/office/drawing/2014/main" id="{00000000-0008-0000-1200-0000FE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67" name="CustomShape 1">
          <a:extLst>
            <a:ext uri="{FF2B5EF4-FFF2-40B4-BE49-F238E27FC236}">
              <a16:creationId xmlns:a16="http://schemas.microsoft.com/office/drawing/2014/main" id="{00000000-0008-0000-1200-0000FF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8" name="CustomShape 1">
          <a:extLst>
            <a:ext uri="{FF2B5EF4-FFF2-40B4-BE49-F238E27FC236}">
              <a16:creationId xmlns:a16="http://schemas.microsoft.com/office/drawing/2014/main" id="{00000000-0008-0000-1200-00000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69" name="CustomShape 1">
          <a:extLst>
            <a:ext uri="{FF2B5EF4-FFF2-40B4-BE49-F238E27FC236}">
              <a16:creationId xmlns:a16="http://schemas.microsoft.com/office/drawing/2014/main" id="{00000000-0008-0000-1200-00000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70" name="CustomShape 1">
          <a:extLst>
            <a:ext uri="{FF2B5EF4-FFF2-40B4-BE49-F238E27FC236}">
              <a16:creationId xmlns:a16="http://schemas.microsoft.com/office/drawing/2014/main" id="{00000000-0008-0000-1200-000002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1" name="CustomShape 1">
          <a:extLst>
            <a:ext uri="{FF2B5EF4-FFF2-40B4-BE49-F238E27FC236}">
              <a16:creationId xmlns:a16="http://schemas.microsoft.com/office/drawing/2014/main" id="{00000000-0008-0000-1200-00000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2" name="CustomShape 1">
          <a:extLst>
            <a:ext uri="{FF2B5EF4-FFF2-40B4-BE49-F238E27FC236}">
              <a16:creationId xmlns:a16="http://schemas.microsoft.com/office/drawing/2014/main" id="{00000000-0008-0000-1200-00000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3" name="CustomShape 1">
          <a:extLst>
            <a:ext uri="{FF2B5EF4-FFF2-40B4-BE49-F238E27FC236}">
              <a16:creationId xmlns:a16="http://schemas.microsoft.com/office/drawing/2014/main" id="{00000000-0008-0000-1200-00000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4" name="CustomShape 1">
          <a:extLst>
            <a:ext uri="{FF2B5EF4-FFF2-40B4-BE49-F238E27FC236}">
              <a16:creationId xmlns:a16="http://schemas.microsoft.com/office/drawing/2014/main" id="{00000000-0008-0000-1200-000006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5" name="CustomShape 1">
          <a:extLst>
            <a:ext uri="{FF2B5EF4-FFF2-40B4-BE49-F238E27FC236}">
              <a16:creationId xmlns:a16="http://schemas.microsoft.com/office/drawing/2014/main" id="{00000000-0008-0000-1200-000007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6" name="CustomShape 1">
          <a:extLst>
            <a:ext uri="{FF2B5EF4-FFF2-40B4-BE49-F238E27FC236}">
              <a16:creationId xmlns:a16="http://schemas.microsoft.com/office/drawing/2014/main" id="{00000000-0008-0000-1200-00000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7" name="CustomShape 1">
          <a:extLst>
            <a:ext uri="{FF2B5EF4-FFF2-40B4-BE49-F238E27FC236}">
              <a16:creationId xmlns:a16="http://schemas.microsoft.com/office/drawing/2014/main" id="{00000000-0008-0000-1200-00000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78" name="CustomShape 1">
          <a:extLst>
            <a:ext uri="{FF2B5EF4-FFF2-40B4-BE49-F238E27FC236}">
              <a16:creationId xmlns:a16="http://schemas.microsoft.com/office/drawing/2014/main" id="{00000000-0008-0000-1200-00000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9" name="CustomShape 1">
          <a:extLst>
            <a:ext uri="{FF2B5EF4-FFF2-40B4-BE49-F238E27FC236}">
              <a16:creationId xmlns:a16="http://schemas.microsoft.com/office/drawing/2014/main" id="{00000000-0008-0000-1200-00000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0" name="CustomShape 1">
          <a:extLst>
            <a:ext uri="{FF2B5EF4-FFF2-40B4-BE49-F238E27FC236}">
              <a16:creationId xmlns:a16="http://schemas.microsoft.com/office/drawing/2014/main" id="{00000000-0008-0000-1200-00000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1" name="CustomShape 1">
          <a:extLst>
            <a:ext uri="{FF2B5EF4-FFF2-40B4-BE49-F238E27FC236}">
              <a16:creationId xmlns:a16="http://schemas.microsoft.com/office/drawing/2014/main" id="{00000000-0008-0000-1200-00000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2" name="CustomShape 1">
          <a:extLst>
            <a:ext uri="{FF2B5EF4-FFF2-40B4-BE49-F238E27FC236}">
              <a16:creationId xmlns:a16="http://schemas.microsoft.com/office/drawing/2014/main" id="{00000000-0008-0000-1200-00000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3" name="CustomShape 1">
          <a:extLst>
            <a:ext uri="{FF2B5EF4-FFF2-40B4-BE49-F238E27FC236}">
              <a16:creationId xmlns:a16="http://schemas.microsoft.com/office/drawing/2014/main" id="{00000000-0008-0000-1200-00000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4" name="CustomShape 1">
          <a:extLst>
            <a:ext uri="{FF2B5EF4-FFF2-40B4-BE49-F238E27FC236}">
              <a16:creationId xmlns:a16="http://schemas.microsoft.com/office/drawing/2014/main" id="{00000000-0008-0000-1200-00001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5" name="CustomShape 1">
          <a:extLst>
            <a:ext uri="{FF2B5EF4-FFF2-40B4-BE49-F238E27FC236}">
              <a16:creationId xmlns:a16="http://schemas.microsoft.com/office/drawing/2014/main" id="{00000000-0008-0000-1200-00001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6" name="CustomShape 1">
          <a:extLst>
            <a:ext uri="{FF2B5EF4-FFF2-40B4-BE49-F238E27FC236}">
              <a16:creationId xmlns:a16="http://schemas.microsoft.com/office/drawing/2014/main" id="{00000000-0008-0000-1200-00001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7" name="CustomShape 1">
          <a:extLst>
            <a:ext uri="{FF2B5EF4-FFF2-40B4-BE49-F238E27FC236}">
              <a16:creationId xmlns:a16="http://schemas.microsoft.com/office/drawing/2014/main" id="{00000000-0008-0000-1200-00001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8" name="CustomShape 1">
          <a:extLst>
            <a:ext uri="{FF2B5EF4-FFF2-40B4-BE49-F238E27FC236}">
              <a16:creationId xmlns:a16="http://schemas.microsoft.com/office/drawing/2014/main" id="{00000000-0008-0000-1200-00001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9" name="CustomShape 1">
          <a:extLst>
            <a:ext uri="{FF2B5EF4-FFF2-40B4-BE49-F238E27FC236}">
              <a16:creationId xmlns:a16="http://schemas.microsoft.com/office/drawing/2014/main" id="{00000000-0008-0000-1200-00001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0" name="CustomShape 1">
          <a:extLst>
            <a:ext uri="{FF2B5EF4-FFF2-40B4-BE49-F238E27FC236}">
              <a16:creationId xmlns:a16="http://schemas.microsoft.com/office/drawing/2014/main" id="{00000000-0008-0000-1200-00001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1" name="CustomShape 1">
          <a:extLst>
            <a:ext uri="{FF2B5EF4-FFF2-40B4-BE49-F238E27FC236}">
              <a16:creationId xmlns:a16="http://schemas.microsoft.com/office/drawing/2014/main" id="{00000000-0008-0000-1200-00001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2" name="CustomShape 1">
          <a:extLst>
            <a:ext uri="{FF2B5EF4-FFF2-40B4-BE49-F238E27FC236}">
              <a16:creationId xmlns:a16="http://schemas.microsoft.com/office/drawing/2014/main" id="{00000000-0008-0000-1200-00001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3" name="CustomShape 1">
          <a:extLst>
            <a:ext uri="{FF2B5EF4-FFF2-40B4-BE49-F238E27FC236}">
              <a16:creationId xmlns:a16="http://schemas.microsoft.com/office/drawing/2014/main" id="{00000000-0008-0000-1200-00001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4" name="CustomShape 1">
          <a:extLst>
            <a:ext uri="{FF2B5EF4-FFF2-40B4-BE49-F238E27FC236}">
              <a16:creationId xmlns:a16="http://schemas.microsoft.com/office/drawing/2014/main" id="{00000000-0008-0000-1200-00001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5" name="CustomShape 1">
          <a:extLst>
            <a:ext uri="{FF2B5EF4-FFF2-40B4-BE49-F238E27FC236}">
              <a16:creationId xmlns:a16="http://schemas.microsoft.com/office/drawing/2014/main" id="{00000000-0008-0000-1200-00001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6" name="CustomShape 1">
          <a:extLst>
            <a:ext uri="{FF2B5EF4-FFF2-40B4-BE49-F238E27FC236}">
              <a16:creationId xmlns:a16="http://schemas.microsoft.com/office/drawing/2014/main" id="{00000000-0008-0000-1200-00001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7" name="CustomShape 1">
          <a:extLst>
            <a:ext uri="{FF2B5EF4-FFF2-40B4-BE49-F238E27FC236}">
              <a16:creationId xmlns:a16="http://schemas.microsoft.com/office/drawing/2014/main" id="{00000000-0008-0000-1200-00001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8" name="CustomShape 1">
          <a:extLst>
            <a:ext uri="{FF2B5EF4-FFF2-40B4-BE49-F238E27FC236}">
              <a16:creationId xmlns:a16="http://schemas.microsoft.com/office/drawing/2014/main" id="{00000000-0008-0000-1200-00001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9" name="CustomShape 1">
          <a:extLst>
            <a:ext uri="{FF2B5EF4-FFF2-40B4-BE49-F238E27FC236}">
              <a16:creationId xmlns:a16="http://schemas.microsoft.com/office/drawing/2014/main" id="{00000000-0008-0000-1200-00001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0" name="CustomShape 1">
          <a:extLst>
            <a:ext uri="{FF2B5EF4-FFF2-40B4-BE49-F238E27FC236}">
              <a16:creationId xmlns:a16="http://schemas.microsoft.com/office/drawing/2014/main" id="{00000000-0008-0000-1200-00002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1" name="CustomShape 1">
          <a:extLst>
            <a:ext uri="{FF2B5EF4-FFF2-40B4-BE49-F238E27FC236}">
              <a16:creationId xmlns:a16="http://schemas.microsoft.com/office/drawing/2014/main" id="{00000000-0008-0000-1200-00002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2" name="CustomShape 1">
          <a:extLst>
            <a:ext uri="{FF2B5EF4-FFF2-40B4-BE49-F238E27FC236}">
              <a16:creationId xmlns:a16="http://schemas.microsoft.com/office/drawing/2014/main" id="{00000000-0008-0000-1200-00002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3" name="CustomShape 1">
          <a:extLst>
            <a:ext uri="{FF2B5EF4-FFF2-40B4-BE49-F238E27FC236}">
              <a16:creationId xmlns:a16="http://schemas.microsoft.com/office/drawing/2014/main" id="{00000000-0008-0000-1200-00002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4" name="CustomShape 1">
          <a:extLst>
            <a:ext uri="{FF2B5EF4-FFF2-40B4-BE49-F238E27FC236}">
              <a16:creationId xmlns:a16="http://schemas.microsoft.com/office/drawing/2014/main" id="{00000000-0008-0000-1200-00002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5" name="CustomShape 1">
          <a:extLst>
            <a:ext uri="{FF2B5EF4-FFF2-40B4-BE49-F238E27FC236}">
              <a16:creationId xmlns:a16="http://schemas.microsoft.com/office/drawing/2014/main" id="{00000000-0008-0000-1200-00002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6" name="CustomShape 1">
          <a:extLst>
            <a:ext uri="{FF2B5EF4-FFF2-40B4-BE49-F238E27FC236}">
              <a16:creationId xmlns:a16="http://schemas.microsoft.com/office/drawing/2014/main" id="{00000000-0008-0000-1200-00002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7" name="CustomShape 1">
          <a:extLst>
            <a:ext uri="{FF2B5EF4-FFF2-40B4-BE49-F238E27FC236}">
              <a16:creationId xmlns:a16="http://schemas.microsoft.com/office/drawing/2014/main" id="{00000000-0008-0000-1200-00002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8" name="CustomShape 1">
          <a:extLst>
            <a:ext uri="{FF2B5EF4-FFF2-40B4-BE49-F238E27FC236}">
              <a16:creationId xmlns:a16="http://schemas.microsoft.com/office/drawing/2014/main" id="{00000000-0008-0000-1200-00002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9" name="CustomShape 1">
          <a:extLst>
            <a:ext uri="{FF2B5EF4-FFF2-40B4-BE49-F238E27FC236}">
              <a16:creationId xmlns:a16="http://schemas.microsoft.com/office/drawing/2014/main" id="{00000000-0008-0000-1200-00002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10" name="CustomShape 1">
          <a:extLst>
            <a:ext uri="{FF2B5EF4-FFF2-40B4-BE49-F238E27FC236}">
              <a16:creationId xmlns:a16="http://schemas.microsoft.com/office/drawing/2014/main" id="{00000000-0008-0000-1200-00002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1" name="CustomShape 1">
          <a:extLst>
            <a:ext uri="{FF2B5EF4-FFF2-40B4-BE49-F238E27FC236}">
              <a16:creationId xmlns:a16="http://schemas.microsoft.com/office/drawing/2014/main" id="{00000000-0008-0000-1200-00002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12" name="CustomShape 1">
          <a:extLst>
            <a:ext uri="{FF2B5EF4-FFF2-40B4-BE49-F238E27FC236}">
              <a16:creationId xmlns:a16="http://schemas.microsoft.com/office/drawing/2014/main" id="{00000000-0008-0000-1300-00002C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13" name="CustomShape 1">
          <a:extLst>
            <a:ext uri="{FF2B5EF4-FFF2-40B4-BE49-F238E27FC236}">
              <a16:creationId xmlns:a16="http://schemas.microsoft.com/office/drawing/2014/main" id="{00000000-0008-0000-1300-00002D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14" name="CustomShape 1">
          <a:extLst>
            <a:ext uri="{FF2B5EF4-FFF2-40B4-BE49-F238E27FC236}">
              <a16:creationId xmlns:a16="http://schemas.microsoft.com/office/drawing/2014/main" id="{00000000-0008-0000-1300-00002E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15" name="CustomShape 1">
          <a:extLst>
            <a:ext uri="{FF2B5EF4-FFF2-40B4-BE49-F238E27FC236}">
              <a16:creationId xmlns:a16="http://schemas.microsoft.com/office/drawing/2014/main" id="{00000000-0008-0000-1300-00002F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16" name="CustomShape 1">
          <a:extLst>
            <a:ext uri="{FF2B5EF4-FFF2-40B4-BE49-F238E27FC236}">
              <a16:creationId xmlns:a16="http://schemas.microsoft.com/office/drawing/2014/main" id="{00000000-0008-0000-1300-000030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17" name="CustomShape 1">
          <a:extLst>
            <a:ext uri="{FF2B5EF4-FFF2-40B4-BE49-F238E27FC236}">
              <a16:creationId xmlns:a16="http://schemas.microsoft.com/office/drawing/2014/main" id="{00000000-0008-0000-1300-000031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18" name="CustomShape 1">
          <a:extLst>
            <a:ext uri="{FF2B5EF4-FFF2-40B4-BE49-F238E27FC236}">
              <a16:creationId xmlns:a16="http://schemas.microsoft.com/office/drawing/2014/main" id="{00000000-0008-0000-1300-000032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19" name="CustomShape 1">
          <a:extLst>
            <a:ext uri="{FF2B5EF4-FFF2-40B4-BE49-F238E27FC236}">
              <a16:creationId xmlns:a16="http://schemas.microsoft.com/office/drawing/2014/main" id="{00000000-0008-0000-1300-000033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20" name="CustomShape 1">
          <a:extLst>
            <a:ext uri="{FF2B5EF4-FFF2-40B4-BE49-F238E27FC236}">
              <a16:creationId xmlns:a16="http://schemas.microsoft.com/office/drawing/2014/main" id="{00000000-0008-0000-1300-000034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1" name="CustomShape 1">
          <a:extLst>
            <a:ext uri="{FF2B5EF4-FFF2-40B4-BE49-F238E27FC236}">
              <a16:creationId xmlns:a16="http://schemas.microsoft.com/office/drawing/2014/main" id="{00000000-0008-0000-1300-00003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22" name="CustomShape 1">
          <a:extLst>
            <a:ext uri="{FF2B5EF4-FFF2-40B4-BE49-F238E27FC236}">
              <a16:creationId xmlns:a16="http://schemas.microsoft.com/office/drawing/2014/main" id="{00000000-0008-0000-1300-00003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23" name="CustomShape 1">
          <a:extLst>
            <a:ext uri="{FF2B5EF4-FFF2-40B4-BE49-F238E27FC236}">
              <a16:creationId xmlns:a16="http://schemas.microsoft.com/office/drawing/2014/main" id="{00000000-0008-0000-1300-000037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4" name="CustomShape 1">
          <a:extLst>
            <a:ext uri="{FF2B5EF4-FFF2-40B4-BE49-F238E27FC236}">
              <a16:creationId xmlns:a16="http://schemas.microsoft.com/office/drawing/2014/main" id="{00000000-0008-0000-1300-00003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5" name="CustomShape 1">
          <a:extLst>
            <a:ext uri="{FF2B5EF4-FFF2-40B4-BE49-F238E27FC236}">
              <a16:creationId xmlns:a16="http://schemas.microsoft.com/office/drawing/2014/main" id="{00000000-0008-0000-1300-00003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6" name="CustomShape 1">
          <a:extLst>
            <a:ext uri="{FF2B5EF4-FFF2-40B4-BE49-F238E27FC236}">
              <a16:creationId xmlns:a16="http://schemas.microsoft.com/office/drawing/2014/main" id="{00000000-0008-0000-1300-00003A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7" name="CustomShape 1">
          <a:extLst>
            <a:ext uri="{FF2B5EF4-FFF2-40B4-BE49-F238E27FC236}">
              <a16:creationId xmlns:a16="http://schemas.microsoft.com/office/drawing/2014/main" id="{00000000-0008-0000-1300-00003B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8" name="CustomShape 1">
          <a:extLst>
            <a:ext uri="{FF2B5EF4-FFF2-40B4-BE49-F238E27FC236}">
              <a16:creationId xmlns:a16="http://schemas.microsoft.com/office/drawing/2014/main" id="{00000000-0008-0000-1300-00003C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9" name="CustomShape 1">
          <a:extLst>
            <a:ext uri="{FF2B5EF4-FFF2-40B4-BE49-F238E27FC236}">
              <a16:creationId xmlns:a16="http://schemas.microsoft.com/office/drawing/2014/main" id="{00000000-0008-0000-1300-00003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30" name="CustomShape 1">
          <a:extLst>
            <a:ext uri="{FF2B5EF4-FFF2-40B4-BE49-F238E27FC236}">
              <a16:creationId xmlns:a16="http://schemas.microsoft.com/office/drawing/2014/main" id="{00000000-0008-0000-1300-00003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1" name="CustomShape 1">
          <a:extLst>
            <a:ext uri="{FF2B5EF4-FFF2-40B4-BE49-F238E27FC236}">
              <a16:creationId xmlns:a16="http://schemas.microsoft.com/office/drawing/2014/main" id="{00000000-0008-0000-1300-00003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2" name="CustomShape 1">
          <a:extLst>
            <a:ext uri="{FF2B5EF4-FFF2-40B4-BE49-F238E27FC236}">
              <a16:creationId xmlns:a16="http://schemas.microsoft.com/office/drawing/2014/main" id="{00000000-0008-0000-1300-00004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3" name="CustomShape 1">
          <a:extLst>
            <a:ext uri="{FF2B5EF4-FFF2-40B4-BE49-F238E27FC236}">
              <a16:creationId xmlns:a16="http://schemas.microsoft.com/office/drawing/2014/main" id="{00000000-0008-0000-1300-00004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4" name="CustomShape 1">
          <a:extLst>
            <a:ext uri="{FF2B5EF4-FFF2-40B4-BE49-F238E27FC236}">
              <a16:creationId xmlns:a16="http://schemas.microsoft.com/office/drawing/2014/main" id="{00000000-0008-0000-1300-00004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5" name="CustomShape 1">
          <a:extLst>
            <a:ext uri="{FF2B5EF4-FFF2-40B4-BE49-F238E27FC236}">
              <a16:creationId xmlns:a16="http://schemas.microsoft.com/office/drawing/2014/main" id="{00000000-0008-0000-1300-00004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6" name="CustomShape 1">
          <a:extLst>
            <a:ext uri="{FF2B5EF4-FFF2-40B4-BE49-F238E27FC236}">
              <a16:creationId xmlns:a16="http://schemas.microsoft.com/office/drawing/2014/main" id="{00000000-0008-0000-1300-00004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7" name="CustomShape 1">
          <a:extLst>
            <a:ext uri="{FF2B5EF4-FFF2-40B4-BE49-F238E27FC236}">
              <a16:creationId xmlns:a16="http://schemas.microsoft.com/office/drawing/2014/main" id="{00000000-0008-0000-1300-00004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8" name="CustomShape 1">
          <a:extLst>
            <a:ext uri="{FF2B5EF4-FFF2-40B4-BE49-F238E27FC236}">
              <a16:creationId xmlns:a16="http://schemas.microsoft.com/office/drawing/2014/main" id="{00000000-0008-0000-1300-00004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9" name="CustomShape 1">
          <a:extLst>
            <a:ext uri="{FF2B5EF4-FFF2-40B4-BE49-F238E27FC236}">
              <a16:creationId xmlns:a16="http://schemas.microsoft.com/office/drawing/2014/main" id="{00000000-0008-0000-1300-00004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0" name="CustomShape 1">
          <a:extLst>
            <a:ext uri="{FF2B5EF4-FFF2-40B4-BE49-F238E27FC236}">
              <a16:creationId xmlns:a16="http://schemas.microsoft.com/office/drawing/2014/main" id="{00000000-0008-0000-1300-00004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1" name="CustomShape 1">
          <a:extLst>
            <a:ext uri="{FF2B5EF4-FFF2-40B4-BE49-F238E27FC236}">
              <a16:creationId xmlns:a16="http://schemas.microsoft.com/office/drawing/2014/main" id="{00000000-0008-0000-1300-00004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2" name="CustomShape 1">
          <a:extLst>
            <a:ext uri="{FF2B5EF4-FFF2-40B4-BE49-F238E27FC236}">
              <a16:creationId xmlns:a16="http://schemas.microsoft.com/office/drawing/2014/main" id="{00000000-0008-0000-1300-00004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3" name="CustomShape 1">
          <a:extLst>
            <a:ext uri="{FF2B5EF4-FFF2-40B4-BE49-F238E27FC236}">
              <a16:creationId xmlns:a16="http://schemas.microsoft.com/office/drawing/2014/main" id="{00000000-0008-0000-1300-00004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4" name="CustomShape 1">
          <a:extLst>
            <a:ext uri="{FF2B5EF4-FFF2-40B4-BE49-F238E27FC236}">
              <a16:creationId xmlns:a16="http://schemas.microsoft.com/office/drawing/2014/main" id="{00000000-0008-0000-1300-00004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5" name="CustomShape 1">
          <a:extLst>
            <a:ext uri="{FF2B5EF4-FFF2-40B4-BE49-F238E27FC236}">
              <a16:creationId xmlns:a16="http://schemas.microsoft.com/office/drawing/2014/main" id="{00000000-0008-0000-1300-00004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6" name="CustomShape 1">
          <a:extLst>
            <a:ext uri="{FF2B5EF4-FFF2-40B4-BE49-F238E27FC236}">
              <a16:creationId xmlns:a16="http://schemas.microsoft.com/office/drawing/2014/main" id="{00000000-0008-0000-1300-00004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7" name="CustomShape 1">
          <a:extLst>
            <a:ext uri="{FF2B5EF4-FFF2-40B4-BE49-F238E27FC236}">
              <a16:creationId xmlns:a16="http://schemas.microsoft.com/office/drawing/2014/main" id="{00000000-0008-0000-1300-00004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8" name="CustomShape 1">
          <a:extLst>
            <a:ext uri="{FF2B5EF4-FFF2-40B4-BE49-F238E27FC236}">
              <a16:creationId xmlns:a16="http://schemas.microsoft.com/office/drawing/2014/main" id="{00000000-0008-0000-1300-00005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9" name="CustomShape 1">
          <a:extLst>
            <a:ext uri="{FF2B5EF4-FFF2-40B4-BE49-F238E27FC236}">
              <a16:creationId xmlns:a16="http://schemas.microsoft.com/office/drawing/2014/main" id="{00000000-0008-0000-1300-00005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0" name="CustomShape 1">
          <a:extLst>
            <a:ext uri="{FF2B5EF4-FFF2-40B4-BE49-F238E27FC236}">
              <a16:creationId xmlns:a16="http://schemas.microsoft.com/office/drawing/2014/main" id="{00000000-0008-0000-1300-00005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1" name="CustomShape 1">
          <a:extLst>
            <a:ext uri="{FF2B5EF4-FFF2-40B4-BE49-F238E27FC236}">
              <a16:creationId xmlns:a16="http://schemas.microsoft.com/office/drawing/2014/main" id="{00000000-0008-0000-1300-00005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2" name="CustomShape 1">
          <a:extLst>
            <a:ext uri="{FF2B5EF4-FFF2-40B4-BE49-F238E27FC236}">
              <a16:creationId xmlns:a16="http://schemas.microsoft.com/office/drawing/2014/main" id="{00000000-0008-0000-1300-00005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3" name="CustomShape 1">
          <a:extLst>
            <a:ext uri="{FF2B5EF4-FFF2-40B4-BE49-F238E27FC236}">
              <a16:creationId xmlns:a16="http://schemas.microsoft.com/office/drawing/2014/main" id="{00000000-0008-0000-1300-00005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4" name="CustomShape 1">
          <a:extLst>
            <a:ext uri="{FF2B5EF4-FFF2-40B4-BE49-F238E27FC236}">
              <a16:creationId xmlns:a16="http://schemas.microsoft.com/office/drawing/2014/main" id="{00000000-0008-0000-1300-00005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5" name="CustomShape 1">
          <a:extLst>
            <a:ext uri="{FF2B5EF4-FFF2-40B4-BE49-F238E27FC236}">
              <a16:creationId xmlns:a16="http://schemas.microsoft.com/office/drawing/2014/main" id="{00000000-0008-0000-1300-00005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6" name="CustomShape 1">
          <a:extLst>
            <a:ext uri="{FF2B5EF4-FFF2-40B4-BE49-F238E27FC236}">
              <a16:creationId xmlns:a16="http://schemas.microsoft.com/office/drawing/2014/main" id="{00000000-0008-0000-1300-00005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7" name="CustomShape 1">
          <a:extLst>
            <a:ext uri="{FF2B5EF4-FFF2-40B4-BE49-F238E27FC236}">
              <a16:creationId xmlns:a16="http://schemas.microsoft.com/office/drawing/2014/main" id="{00000000-0008-0000-1300-00005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8" name="CustomShape 1">
          <a:extLst>
            <a:ext uri="{FF2B5EF4-FFF2-40B4-BE49-F238E27FC236}">
              <a16:creationId xmlns:a16="http://schemas.microsoft.com/office/drawing/2014/main" id="{00000000-0008-0000-1300-00005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9" name="CustomShape 1">
          <a:extLst>
            <a:ext uri="{FF2B5EF4-FFF2-40B4-BE49-F238E27FC236}">
              <a16:creationId xmlns:a16="http://schemas.microsoft.com/office/drawing/2014/main" id="{00000000-0008-0000-1300-00005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0" name="CustomShape 1">
          <a:extLst>
            <a:ext uri="{FF2B5EF4-FFF2-40B4-BE49-F238E27FC236}">
              <a16:creationId xmlns:a16="http://schemas.microsoft.com/office/drawing/2014/main" id="{00000000-0008-0000-1300-00005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1" name="CustomShape 1">
          <a:extLst>
            <a:ext uri="{FF2B5EF4-FFF2-40B4-BE49-F238E27FC236}">
              <a16:creationId xmlns:a16="http://schemas.microsoft.com/office/drawing/2014/main" id="{00000000-0008-0000-1300-00005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2" name="CustomShape 1">
          <a:extLst>
            <a:ext uri="{FF2B5EF4-FFF2-40B4-BE49-F238E27FC236}">
              <a16:creationId xmlns:a16="http://schemas.microsoft.com/office/drawing/2014/main" id="{00000000-0008-0000-1300-00005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3" name="CustomShape 1">
          <a:extLst>
            <a:ext uri="{FF2B5EF4-FFF2-40B4-BE49-F238E27FC236}">
              <a16:creationId xmlns:a16="http://schemas.microsoft.com/office/drawing/2014/main" id="{00000000-0008-0000-1300-00005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4" name="CustomShape 1">
          <a:extLst>
            <a:ext uri="{FF2B5EF4-FFF2-40B4-BE49-F238E27FC236}">
              <a16:creationId xmlns:a16="http://schemas.microsoft.com/office/drawing/2014/main" id="{00000000-0008-0000-1300-00006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65" name="CustomShape 1">
          <a:extLst>
            <a:ext uri="{FF2B5EF4-FFF2-40B4-BE49-F238E27FC236}">
              <a16:creationId xmlns:a16="http://schemas.microsoft.com/office/drawing/2014/main" id="{00000000-0008-0000-1400-000061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66" name="CustomShape 1">
          <a:extLst>
            <a:ext uri="{FF2B5EF4-FFF2-40B4-BE49-F238E27FC236}">
              <a16:creationId xmlns:a16="http://schemas.microsoft.com/office/drawing/2014/main" id="{00000000-0008-0000-1400-000062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67" name="CustomShape 1">
          <a:extLst>
            <a:ext uri="{FF2B5EF4-FFF2-40B4-BE49-F238E27FC236}">
              <a16:creationId xmlns:a16="http://schemas.microsoft.com/office/drawing/2014/main" id="{00000000-0008-0000-1400-000063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68" name="CustomShape 1">
          <a:extLst>
            <a:ext uri="{FF2B5EF4-FFF2-40B4-BE49-F238E27FC236}">
              <a16:creationId xmlns:a16="http://schemas.microsoft.com/office/drawing/2014/main" id="{00000000-0008-0000-1400-000064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69" name="CustomShape 1">
          <a:extLst>
            <a:ext uri="{FF2B5EF4-FFF2-40B4-BE49-F238E27FC236}">
              <a16:creationId xmlns:a16="http://schemas.microsoft.com/office/drawing/2014/main" id="{00000000-0008-0000-1400-000065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70" name="CustomShape 1">
          <a:extLst>
            <a:ext uri="{FF2B5EF4-FFF2-40B4-BE49-F238E27FC236}">
              <a16:creationId xmlns:a16="http://schemas.microsoft.com/office/drawing/2014/main" id="{00000000-0008-0000-1400-000066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71" name="CustomShape 1">
          <a:extLst>
            <a:ext uri="{FF2B5EF4-FFF2-40B4-BE49-F238E27FC236}">
              <a16:creationId xmlns:a16="http://schemas.microsoft.com/office/drawing/2014/main" id="{00000000-0008-0000-1400-000067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72" name="CustomShape 1">
          <a:extLst>
            <a:ext uri="{FF2B5EF4-FFF2-40B4-BE49-F238E27FC236}">
              <a16:creationId xmlns:a16="http://schemas.microsoft.com/office/drawing/2014/main" id="{00000000-0008-0000-1400-000068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73" name="CustomShape 1">
          <a:extLst>
            <a:ext uri="{FF2B5EF4-FFF2-40B4-BE49-F238E27FC236}">
              <a16:creationId xmlns:a16="http://schemas.microsoft.com/office/drawing/2014/main" id="{00000000-0008-0000-1400-000069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74" name="CustomShape 1">
          <a:extLst>
            <a:ext uri="{FF2B5EF4-FFF2-40B4-BE49-F238E27FC236}">
              <a16:creationId xmlns:a16="http://schemas.microsoft.com/office/drawing/2014/main" id="{00000000-0008-0000-1400-00006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75" name="CustomShape 1">
          <a:extLst>
            <a:ext uri="{FF2B5EF4-FFF2-40B4-BE49-F238E27FC236}">
              <a16:creationId xmlns:a16="http://schemas.microsoft.com/office/drawing/2014/main" id="{00000000-0008-0000-1400-00006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76" name="CustomShape 1">
          <a:extLst>
            <a:ext uri="{FF2B5EF4-FFF2-40B4-BE49-F238E27FC236}">
              <a16:creationId xmlns:a16="http://schemas.microsoft.com/office/drawing/2014/main" id="{00000000-0008-0000-1400-00006C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7" name="CustomShape 1">
          <a:extLst>
            <a:ext uri="{FF2B5EF4-FFF2-40B4-BE49-F238E27FC236}">
              <a16:creationId xmlns:a16="http://schemas.microsoft.com/office/drawing/2014/main" id="{00000000-0008-0000-1400-00006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8" name="CustomShape 1">
          <a:extLst>
            <a:ext uri="{FF2B5EF4-FFF2-40B4-BE49-F238E27FC236}">
              <a16:creationId xmlns:a16="http://schemas.microsoft.com/office/drawing/2014/main" id="{00000000-0008-0000-1400-00006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9" name="CustomShape 1">
          <a:extLst>
            <a:ext uri="{FF2B5EF4-FFF2-40B4-BE49-F238E27FC236}">
              <a16:creationId xmlns:a16="http://schemas.microsoft.com/office/drawing/2014/main" id="{00000000-0008-0000-1400-00006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0" name="CustomShape 1">
          <a:extLst>
            <a:ext uri="{FF2B5EF4-FFF2-40B4-BE49-F238E27FC236}">
              <a16:creationId xmlns:a16="http://schemas.microsoft.com/office/drawing/2014/main" id="{00000000-0008-0000-1400-00007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1" name="CustomShape 1">
          <a:extLst>
            <a:ext uri="{FF2B5EF4-FFF2-40B4-BE49-F238E27FC236}">
              <a16:creationId xmlns:a16="http://schemas.microsoft.com/office/drawing/2014/main" id="{00000000-0008-0000-1400-00007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2" name="CustomShape 1">
          <a:extLst>
            <a:ext uri="{FF2B5EF4-FFF2-40B4-BE49-F238E27FC236}">
              <a16:creationId xmlns:a16="http://schemas.microsoft.com/office/drawing/2014/main" id="{00000000-0008-0000-1400-00007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3" name="CustomShape 1">
          <a:extLst>
            <a:ext uri="{FF2B5EF4-FFF2-40B4-BE49-F238E27FC236}">
              <a16:creationId xmlns:a16="http://schemas.microsoft.com/office/drawing/2014/main" id="{00000000-0008-0000-1400-00007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4" name="CustomShape 1">
          <a:extLst>
            <a:ext uri="{FF2B5EF4-FFF2-40B4-BE49-F238E27FC236}">
              <a16:creationId xmlns:a16="http://schemas.microsoft.com/office/drawing/2014/main" id="{00000000-0008-0000-1400-00007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5" name="CustomShape 1">
          <a:extLst>
            <a:ext uri="{FF2B5EF4-FFF2-40B4-BE49-F238E27FC236}">
              <a16:creationId xmlns:a16="http://schemas.microsoft.com/office/drawing/2014/main" id="{00000000-0008-0000-1400-00007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6" name="CustomShape 1">
          <a:extLst>
            <a:ext uri="{FF2B5EF4-FFF2-40B4-BE49-F238E27FC236}">
              <a16:creationId xmlns:a16="http://schemas.microsoft.com/office/drawing/2014/main" id="{00000000-0008-0000-1400-00007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7" name="CustomShape 1">
          <a:extLst>
            <a:ext uri="{FF2B5EF4-FFF2-40B4-BE49-F238E27FC236}">
              <a16:creationId xmlns:a16="http://schemas.microsoft.com/office/drawing/2014/main" id="{00000000-0008-0000-1400-00007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8" name="CustomShape 1">
          <a:extLst>
            <a:ext uri="{FF2B5EF4-FFF2-40B4-BE49-F238E27FC236}">
              <a16:creationId xmlns:a16="http://schemas.microsoft.com/office/drawing/2014/main" id="{00000000-0008-0000-1400-00007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9" name="CustomShape 1">
          <a:extLst>
            <a:ext uri="{FF2B5EF4-FFF2-40B4-BE49-F238E27FC236}">
              <a16:creationId xmlns:a16="http://schemas.microsoft.com/office/drawing/2014/main" id="{00000000-0008-0000-1400-00007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0" name="CustomShape 1">
          <a:extLst>
            <a:ext uri="{FF2B5EF4-FFF2-40B4-BE49-F238E27FC236}">
              <a16:creationId xmlns:a16="http://schemas.microsoft.com/office/drawing/2014/main" id="{00000000-0008-0000-1400-00007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1" name="CustomShape 1">
          <a:extLst>
            <a:ext uri="{FF2B5EF4-FFF2-40B4-BE49-F238E27FC236}">
              <a16:creationId xmlns:a16="http://schemas.microsoft.com/office/drawing/2014/main" id="{00000000-0008-0000-1400-00007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2" name="CustomShape 1">
          <a:extLst>
            <a:ext uri="{FF2B5EF4-FFF2-40B4-BE49-F238E27FC236}">
              <a16:creationId xmlns:a16="http://schemas.microsoft.com/office/drawing/2014/main" id="{00000000-0008-0000-1400-00007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3" name="CustomShape 1">
          <a:extLst>
            <a:ext uri="{FF2B5EF4-FFF2-40B4-BE49-F238E27FC236}">
              <a16:creationId xmlns:a16="http://schemas.microsoft.com/office/drawing/2014/main" id="{00000000-0008-0000-1400-00007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4" name="CustomShape 1">
          <a:extLst>
            <a:ext uri="{FF2B5EF4-FFF2-40B4-BE49-F238E27FC236}">
              <a16:creationId xmlns:a16="http://schemas.microsoft.com/office/drawing/2014/main" id="{00000000-0008-0000-1400-00007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5" name="CustomShape 1">
          <a:extLst>
            <a:ext uri="{FF2B5EF4-FFF2-40B4-BE49-F238E27FC236}">
              <a16:creationId xmlns:a16="http://schemas.microsoft.com/office/drawing/2014/main" id="{00000000-0008-0000-1400-00007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6" name="CustomShape 1">
          <a:extLst>
            <a:ext uri="{FF2B5EF4-FFF2-40B4-BE49-F238E27FC236}">
              <a16:creationId xmlns:a16="http://schemas.microsoft.com/office/drawing/2014/main" id="{00000000-0008-0000-1400-00008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7" name="CustomShape 1">
          <a:extLst>
            <a:ext uri="{FF2B5EF4-FFF2-40B4-BE49-F238E27FC236}">
              <a16:creationId xmlns:a16="http://schemas.microsoft.com/office/drawing/2014/main" id="{00000000-0008-0000-1400-00008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8" name="CustomShape 1">
          <a:extLst>
            <a:ext uri="{FF2B5EF4-FFF2-40B4-BE49-F238E27FC236}">
              <a16:creationId xmlns:a16="http://schemas.microsoft.com/office/drawing/2014/main" id="{00000000-0008-0000-1400-00008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9" name="CustomShape 1">
          <a:extLst>
            <a:ext uri="{FF2B5EF4-FFF2-40B4-BE49-F238E27FC236}">
              <a16:creationId xmlns:a16="http://schemas.microsoft.com/office/drawing/2014/main" id="{00000000-0008-0000-1400-00008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0" name="CustomShape 1">
          <a:extLst>
            <a:ext uri="{FF2B5EF4-FFF2-40B4-BE49-F238E27FC236}">
              <a16:creationId xmlns:a16="http://schemas.microsoft.com/office/drawing/2014/main" id="{00000000-0008-0000-1400-00008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1" name="CustomShape 1">
          <a:extLst>
            <a:ext uri="{FF2B5EF4-FFF2-40B4-BE49-F238E27FC236}">
              <a16:creationId xmlns:a16="http://schemas.microsoft.com/office/drawing/2014/main" id="{00000000-0008-0000-1400-00008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2" name="CustomShape 1">
          <a:extLst>
            <a:ext uri="{FF2B5EF4-FFF2-40B4-BE49-F238E27FC236}">
              <a16:creationId xmlns:a16="http://schemas.microsoft.com/office/drawing/2014/main" id="{00000000-0008-0000-1400-00008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3" name="CustomShape 1">
          <a:extLst>
            <a:ext uri="{FF2B5EF4-FFF2-40B4-BE49-F238E27FC236}">
              <a16:creationId xmlns:a16="http://schemas.microsoft.com/office/drawing/2014/main" id="{00000000-0008-0000-1400-00008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4" name="CustomShape 1">
          <a:extLst>
            <a:ext uri="{FF2B5EF4-FFF2-40B4-BE49-F238E27FC236}">
              <a16:creationId xmlns:a16="http://schemas.microsoft.com/office/drawing/2014/main" id="{00000000-0008-0000-1400-00008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5" name="CustomShape 1">
          <a:extLst>
            <a:ext uri="{FF2B5EF4-FFF2-40B4-BE49-F238E27FC236}">
              <a16:creationId xmlns:a16="http://schemas.microsoft.com/office/drawing/2014/main" id="{00000000-0008-0000-1400-00008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6" name="CustomShape 1">
          <a:extLst>
            <a:ext uri="{FF2B5EF4-FFF2-40B4-BE49-F238E27FC236}">
              <a16:creationId xmlns:a16="http://schemas.microsoft.com/office/drawing/2014/main" id="{00000000-0008-0000-1400-00008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7" name="CustomShape 1">
          <a:extLst>
            <a:ext uri="{FF2B5EF4-FFF2-40B4-BE49-F238E27FC236}">
              <a16:creationId xmlns:a16="http://schemas.microsoft.com/office/drawing/2014/main" id="{00000000-0008-0000-1400-00008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8" name="CustomShape 1">
          <a:extLst>
            <a:ext uri="{FF2B5EF4-FFF2-40B4-BE49-F238E27FC236}">
              <a16:creationId xmlns:a16="http://schemas.microsoft.com/office/drawing/2014/main" id="{00000000-0008-0000-1400-00008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9" name="CustomShape 1">
          <a:extLst>
            <a:ext uri="{FF2B5EF4-FFF2-40B4-BE49-F238E27FC236}">
              <a16:creationId xmlns:a16="http://schemas.microsoft.com/office/drawing/2014/main" id="{00000000-0008-0000-1400-00008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0" name="CustomShape 1">
          <a:extLst>
            <a:ext uri="{FF2B5EF4-FFF2-40B4-BE49-F238E27FC236}">
              <a16:creationId xmlns:a16="http://schemas.microsoft.com/office/drawing/2014/main" id="{00000000-0008-0000-1400-00008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1" name="CustomShape 1">
          <a:extLst>
            <a:ext uri="{FF2B5EF4-FFF2-40B4-BE49-F238E27FC236}">
              <a16:creationId xmlns:a16="http://schemas.microsoft.com/office/drawing/2014/main" id="{00000000-0008-0000-1400-00008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2" name="CustomShape 1">
          <a:extLst>
            <a:ext uri="{FF2B5EF4-FFF2-40B4-BE49-F238E27FC236}">
              <a16:creationId xmlns:a16="http://schemas.microsoft.com/office/drawing/2014/main" id="{00000000-0008-0000-1400-00009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3" name="CustomShape 1">
          <a:extLst>
            <a:ext uri="{FF2B5EF4-FFF2-40B4-BE49-F238E27FC236}">
              <a16:creationId xmlns:a16="http://schemas.microsoft.com/office/drawing/2014/main" id="{00000000-0008-0000-1400-00009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4" name="CustomShape 1">
          <a:extLst>
            <a:ext uri="{FF2B5EF4-FFF2-40B4-BE49-F238E27FC236}">
              <a16:creationId xmlns:a16="http://schemas.microsoft.com/office/drawing/2014/main" id="{00000000-0008-0000-1400-00009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5" name="CustomShape 1">
          <a:extLst>
            <a:ext uri="{FF2B5EF4-FFF2-40B4-BE49-F238E27FC236}">
              <a16:creationId xmlns:a16="http://schemas.microsoft.com/office/drawing/2014/main" id="{00000000-0008-0000-1400-00009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6" name="CustomShape 1">
          <a:extLst>
            <a:ext uri="{FF2B5EF4-FFF2-40B4-BE49-F238E27FC236}">
              <a16:creationId xmlns:a16="http://schemas.microsoft.com/office/drawing/2014/main" id="{00000000-0008-0000-1400-00009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7" name="CustomShape 1">
          <a:extLst>
            <a:ext uri="{FF2B5EF4-FFF2-40B4-BE49-F238E27FC236}">
              <a16:creationId xmlns:a16="http://schemas.microsoft.com/office/drawing/2014/main" id="{00000000-0008-0000-1400-00009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918" name="CustomShape 1">
          <a:extLst>
            <a:ext uri="{FF2B5EF4-FFF2-40B4-BE49-F238E27FC236}">
              <a16:creationId xmlns:a16="http://schemas.microsoft.com/office/drawing/2014/main" id="{00000000-0008-0000-1500-000096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919" name="CustomShape 1">
          <a:extLst>
            <a:ext uri="{FF2B5EF4-FFF2-40B4-BE49-F238E27FC236}">
              <a16:creationId xmlns:a16="http://schemas.microsoft.com/office/drawing/2014/main" id="{00000000-0008-0000-1500-000097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920" name="CustomShape 1">
          <a:extLst>
            <a:ext uri="{FF2B5EF4-FFF2-40B4-BE49-F238E27FC236}">
              <a16:creationId xmlns:a16="http://schemas.microsoft.com/office/drawing/2014/main" id="{00000000-0008-0000-1500-000098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21" name="CustomShape 1">
          <a:extLst>
            <a:ext uri="{FF2B5EF4-FFF2-40B4-BE49-F238E27FC236}">
              <a16:creationId xmlns:a16="http://schemas.microsoft.com/office/drawing/2014/main" id="{00000000-0008-0000-1500-000099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22" name="CustomShape 1">
          <a:extLst>
            <a:ext uri="{FF2B5EF4-FFF2-40B4-BE49-F238E27FC236}">
              <a16:creationId xmlns:a16="http://schemas.microsoft.com/office/drawing/2014/main" id="{00000000-0008-0000-1500-00009A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3" name="CustomShape 1">
          <a:extLst>
            <a:ext uri="{FF2B5EF4-FFF2-40B4-BE49-F238E27FC236}">
              <a16:creationId xmlns:a16="http://schemas.microsoft.com/office/drawing/2014/main" id="{00000000-0008-0000-1500-00009B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24" name="CustomShape 1">
          <a:extLst>
            <a:ext uri="{FF2B5EF4-FFF2-40B4-BE49-F238E27FC236}">
              <a16:creationId xmlns:a16="http://schemas.microsoft.com/office/drawing/2014/main" id="{00000000-0008-0000-1500-00009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25" name="CustomShape 1">
          <a:extLst>
            <a:ext uri="{FF2B5EF4-FFF2-40B4-BE49-F238E27FC236}">
              <a16:creationId xmlns:a16="http://schemas.microsoft.com/office/drawing/2014/main" id="{00000000-0008-0000-1500-00009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26" name="CustomShape 1">
          <a:extLst>
            <a:ext uri="{FF2B5EF4-FFF2-40B4-BE49-F238E27FC236}">
              <a16:creationId xmlns:a16="http://schemas.microsoft.com/office/drawing/2014/main" id="{00000000-0008-0000-1500-00009E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7" name="CustomShape 1">
          <a:extLst>
            <a:ext uri="{FF2B5EF4-FFF2-40B4-BE49-F238E27FC236}">
              <a16:creationId xmlns:a16="http://schemas.microsoft.com/office/drawing/2014/main" id="{00000000-0008-0000-1500-00009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8" name="CustomShape 1">
          <a:extLst>
            <a:ext uri="{FF2B5EF4-FFF2-40B4-BE49-F238E27FC236}">
              <a16:creationId xmlns:a16="http://schemas.microsoft.com/office/drawing/2014/main" id="{00000000-0008-0000-1500-0000A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9" name="CustomShape 1">
          <a:extLst>
            <a:ext uri="{FF2B5EF4-FFF2-40B4-BE49-F238E27FC236}">
              <a16:creationId xmlns:a16="http://schemas.microsoft.com/office/drawing/2014/main" id="{00000000-0008-0000-1500-0000A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0" name="CustomShape 1">
          <a:extLst>
            <a:ext uri="{FF2B5EF4-FFF2-40B4-BE49-F238E27FC236}">
              <a16:creationId xmlns:a16="http://schemas.microsoft.com/office/drawing/2014/main" id="{00000000-0008-0000-1500-0000A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1" name="CustomShape 1">
          <a:extLst>
            <a:ext uri="{FF2B5EF4-FFF2-40B4-BE49-F238E27FC236}">
              <a16:creationId xmlns:a16="http://schemas.microsoft.com/office/drawing/2014/main" id="{00000000-0008-0000-1500-0000A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2" name="CustomShape 1">
          <a:extLst>
            <a:ext uri="{FF2B5EF4-FFF2-40B4-BE49-F238E27FC236}">
              <a16:creationId xmlns:a16="http://schemas.microsoft.com/office/drawing/2014/main" id="{00000000-0008-0000-1500-0000A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3" name="CustomShape 1">
          <a:extLst>
            <a:ext uri="{FF2B5EF4-FFF2-40B4-BE49-F238E27FC236}">
              <a16:creationId xmlns:a16="http://schemas.microsoft.com/office/drawing/2014/main" id="{00000000-0008-0000-1500-0000A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4" name="CustomShape 1">
          <a:extLst>
            <a:ext uri="{FF2B5EF4-FFF2-40B4-BE49-F238E27FC236}">
              <a16:creationId xmlns:a16="http://schemas.microsoft.com/office/drawing/2014/main" id="{00000000-0008-0000-1500-0000A6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5" name="CustomShape 1">
          <a:extLst>
            <a:ext uri="{FF2B5EF4-FFF2-40B4-BE49-F238E27FC236}">
              <a16:creationId xmlns:a16="http://schemas.microsoft.com/office/drawing/2014/main" id="{00000000-0008-0000-1500-0000A7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6" name="CustomShape 1">
          <a:extLst>
            <a:ext uri="{FF2B5EF4-FFF2-40B4-BE49-F238E27FC236}">
              <a16:creationId xmlns:a16="http://schemas.microsoft.com/office/drawing/2014/main" id="{00000000-0008-0000-1500-0000A8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7" name="CustomShape 1">
          <a:extLst>
            <a:ext uri="{FF2B5EF4-FFF2-40B4-BE49-F238E27FC236}">
              <a16:creationId xmlns:a16="http://schemas.microsoft.com/office/drawing/2014/main" id="{00000000-0008-0000-1500-0000A9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8" name="CustomShape 1">
          <a:extLst>
            <a:ext uri="{FF2B5EF4-FFF2-40B4-BE49-F238E27FC236}">
              <a16:creationId xmlns:a16="http://schemas.microsoft.com/office/drawing/2014/main" id="{00000000-0008-0000-1500-0000AA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9" name="CustomShape 1">
          <a:extLst>
            <a:ext uri="{FF2B5EF4-FFF2-40B4-BE49-F238E27FC236}">
              <a16:creationId xmlns:a16="http://schemas.microsoft.com/office/drawing/2014/main" id="{00000000-0008-0000-1500-0000AB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40" name="CustomShape 1">
          <a:extLst>
            <a:ext uri="{FF2B5EF4-FFF2-40B4-BE49-F238E27FC236}">
              <a16:creationId xmlns:a16="http://schemas.microsoft.com/office/drawing/2014/main" id="{00000000-0008-0000-1500-0000A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1" name="CustomShape 1">
          <a:extLst>
            <a:ext uri="{FF2B5EF4-FFF2-40B4-BE49-F238E27FC236}">
              <a16:creationId xmlns:a16="http://schemas.microsoft.com/office/drawing/2014/main" id="{00000000-0008-0000-1500-0000A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2" name="CustomShape 1">
          <a:extLst>
            <a:ext uri="{FF2B5EF4-FFF2-40B4-BE49-F238E27FC236}">
              <a16:creationId xmlns:a16="http://schemas.microsoft.com/office/drawing/2014/main" id="{00000000-0008-0000-1500-0000AE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3" name="CustomShape 1">
          <a:extLst>
            <a:ext uri="{FF2B5EF4-FFF2-40B4-BE49-F238E27FC236}">
              <a16:creationId xmlns:a16="http://schemas.microsoft.com/office/drawing/2014/main" id="{00000000-0008-0000-1500-0000AF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4" name="CustomShape 1">
          <a:extLst>
            <a:ext uri="{FF2B5EF4-FFF2-40B4-BE49-F238E27FC236}">
              <a16:creationId xmlns:a16="http://schemas.microsoft.com/office/drawing/2014/main" id="{00000000-0008-0000-1500-0000B0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5" name="CustomShape 1">
          <a:extLst>
            <a:ext uri="{FF2B5EF4-FFF2-40B4-BE49-F238E27FC236}">
              <a16:creationId xmlns:a16="http://schemas.microsoft.com/office/drawing/2014/main" id="{00000000-0008-0000-1500-0000B1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6" name="CustomShape 1">
          <a:extLst>
            <a:ext uri="{FF2B5EF4-FFF2-40B4-BE49-F238E27FC236}">
              <a16:creationId xmlns:a16="http://schemas.microsoft.com/office/drawing/2014/main" id="{00000000-0008-0000-1500-0000B2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495360</xdr:colOff>
      <xdr:row>39</xdr:row>
      <xdr:rowOff>57240</xdr:rowOff>
    </xdr:from>
    <xdr:to>
      <xdr:col>0</xdr:col>
      <xdr:colOff>579600</xdr:colOff>
      <xdr:row>48</xdr:row>
      <xdr:rowOff>141840</xdr:rowOff>
    </xdr:to>
    <xdr:sp macro="" textlink="">
      <xdr:nvSpPr>
        <xdr:cNvPr id="947" name="CustomShape 1">
          <a:extLst>
            <a:ext uri="{FF2B5EF4-FFF2-40B4-BE49-F238E27FC236}">
              <a16:creationId xmlns:a16="http://schemas.microsoft.com/office/drawing/2014/main" id="{00000000-0008-0000-1700-0000B3030000}"/>
            </a:ext>
          </a:extLst>
        </xdr:cNvPr>
        <xdr:cNvSpPr/>
      </xdr:nvSpPr>
      <xdr:spPr>
        <a:xfrm>
          <a:off x="495360" y="6467400"/>
          <a:ext cx="84240" cy="15418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39</xdr:row>
      <xdr:rowOff>47520</xdr:rowOff>
    </xdr:from>
    <xdr:to>
      <xdr:col>11</xdr:col>
      <xdr:colOff>122400</xdr:colOff>
      <xdr:row>48</xdr:row>
      <xdr:rowOff>132120</xdr:rowOff>
    </xdr:to>
    <xdr:sp macro="" textlink="">
      <xdr:nvSpPr>
        <xdr:cNvPr id="948" name="CustomShape 1">
          <a:extLst>
            <a:ext uri="{FF2B5EF4-FFF2-40B4-BE49-F238E27FC236}">
              <a16:creationId xmlns:a16="http://schemas.microsoft.com/office/drawing/2014/main" id="{00000000-0008-0000-1700-0000B4030000}"/>
            </a:ext>
          </a:extLst>
        </xdr:cNvPr>
        <xdr:cNvSpPr/>
      </xdr:nvSpPr>
      <xdr:spPr>
        <a:xfrm>
          <a:off x="5362560" y="6457680"/>
          <a:ext cx="122400" cy="154188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50</xdr:row>
      <xdr:rowOff>9360</xdr:rowOff>
    </xdr:from>
    <xdr:to>
      <xdr:col>0</xdr:col>
      <xdr:colOff>623160</xdr:colOff>
      <xdr:row>59</xdr:row>
      <xdr:rowOff>131760</xdr:rowOff>
    </xdr:to>
    <xdr:sp macro="" textlink="">
      <xdr:nvSpPr>
        <xdr:cNvPr id="949" name="CustomShape 1">
          <a:extLst>
            <a:ext uri="{FF2B5EF4-FFF2-40B4-BE49-F238E27FC236}">
              <a16:creationId xmlns:a16="http://schemas.microsoft.com/office/drawing/2014/main" id="{00000000-0008-0000-1700-0000B5030000}"/>
            </a:ext>
          </a:extLst>
        </xdr:cNvPr>
        <xdr:cNvSpPr/>
      </xdr:nvSpPr>
      <xdr:spPr>
        <a:xfrm>
          <a:off x="504720" y="8200800"/>
          <a:ext cx="118440" cy="15796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9360</xdr:colOff>
      <xdr:row>50</xdr:row>
      <xdr:rowOff>0</xdr:rowOff>
    </xdr:from>
    <xdr:to>
      <xdr:col>11</xdr:col>
      <xdr:colOff>131760</xdr:colOff>
      <xdr:row>58</xdr:row>
      <xdr:rowOff>141840</xdr:rowOff>
    </xdr:to>
    <xdr:sp macro="" textlink="">
      <xdr:nvSpPr>
        <xdr:cNvPr id="950" name="CustomShape 1">
          <a:extLst>
            <a:ext uri="{FF2B5EF4-FFF2-40B4-BE49-F238E27FC236}">
              <a16:creationId xmlns:a16="http://schemas.microsoft.com/office/drawing/2014/main" id="{00000000-0008-0000-1700-0000B6030000}"/>
            </a:ext>
          </a:extLst>
        </xdr:cNvPr>
        <xdr:cNvSpPr/>
      </xdr:nvSpPr>
      <xdr:spPr>
        <a:xfrm>
          <a:off x="5371920" y="8191440"/>
          <a:ext cx="122400" cy="14371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4</xdr:row>
      <xdr:rowOff>9360</xdr:rowOff>
    </xdr:from>
    <xdr:to>
      <xdr:col>0</xdr:col>
      <xdr:colOff>579600</xdr:colOff>
      <xdr:row>14</xdr:row>
      <xdr:rowOff>17280</xdr:rowOff>
    </xdr:to>
    <xdr:sp macro="" textlink="">
      <xdr:nvSpPr>
        <xdr:cNvPr id="951" name="CustomShape 1">
          <a:extLst>
            <a:ext uri="{FF2B5EF4-FFF2-40B4-BE49-F238E27FC236}">
              <a16:creationId xmlns:a16="http://schemas.microsoft.com/office/drawing/2014/main" id="{00000000-0008-0000-1700-0000B7030000}"/>
            </a:ext>
          </a:extLst>
        </xdr:cNvPr>
        <xdr:cNvSpPr/>
      </xdr:nvSpPr>
      <xdr:spPr>
        <a:xfrm>
          <a:off x="504720" y="723600"/>
          <a:ext cx="74880" cy="162720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141480</xdr:colOff>
      <xdr:row>13</xdr:row>
      <xdr:rowOff>160920</xdr:rowOff>
    </xdr:to>
    <xdr:sp macro="" textlink="">
      <xdr:nvSpPr>
        <xdr:cNvPr id="952" name="CustomShape 1">
          <a:extLst>
            <a:ext uri="{FF2B5EF4-FFF2-40B4-BE49-F238E27FC236}">
              <a16:creationId xmlns:a16="http://schemas.microsoft.com/office/drawing/2014/main" id="{00000000-0008-0000-1700-0000B8030000}"/>
            </a:ext>
          </a:extLst>
        </xdr:cNvPr>
        <xdr:cNvSpPr/>
      </xdr:nvSpPr>
      <xdr:spPr>
        <a:xfrm>
          <a:off x="5362560" y="714240"/>
          <a:ext cx="141480" cy="161820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476280</xdr:colOff>
      <xdr:row>27</xdr:row>
      <xdr:rowOff>9360</xdr:rowOff>
    </xdr:from>
    <xdr:to>
      <xdr:col>0</xdr:col>
      <xdr:colOff>570240</xdr:colOff>
      <xdr:row>36</xdr:row>
      <xdr:rowOff>141120</xdr:rowOff>
    </xdr:to>
    <xdr:sp macro="" textlink="">
      <xdr:nvSpPr>
        <xdr:cNvPr id="953" name="CustomShape 1">
          <a:extLst>
            <a:ext uri="{FF2B5EF4-FFF2-40B4-BE49-F238E27FC236}">
              <a16:creationId xmlns:a16="http://schemas.microsoft.com/office/drawing/2014/main" id="{00000000-0008-0000-1700-0000B9030000}"/>
            </a:ext>
          </a:extLst>
        </xdr:cNvPr>
        <xdr:cNvSpPr/>
      </xdr:nvSpPr>
      <xdr:spPr>
        <a:xfrm>
          <a:off x="476280" y="4457520"/>
          <a:ext cx="93960" cy="158904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10</xdr:col>
      <xdr:colOff>447840</xdr:colOff>
      <xdr:row>27</xdr:row>
      <xdr:rowOff>0</xdr:rowOff>
    </xdr:from>
    <xdr:to>
      <xdr:col>11</xdr:col>
      <xdr:colOff>141480</xdr:colOff>
      <xdr:row>36</xdr:row>
      <xdr:rowOff>113040</xdr:rowOff>
    </xdr:to>
    <xdr:sp macro="" textlink="">
      <xdr:nvSpPr>
        <xdr:cNvPr id="954" name="CustomShape 1">
          <a:extLst>
            <a:ext uri="{FF2B5EF4-FFF2-40B4-BE49-F238E27FC236}">
              <a16:creationId xmlns:a16="http://schemas.microsoft.com/office/drawing/2014/main" id="{00000000-0008-0000-1700-0000BA030000}"/>
            </a:ext>
          </a:extLst>
        </xdr:cNvPr>
        <xdr:cNvSpPr/>
      </xdr:nvSpPr>
      <xdr:spPr>
        <a:xfrm>
          <a:off x="5336640" y="4448160"/>
          <a:ext cx="167400" cy="15703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32</xdr:col>
      <xdr:colOff>28440</xdr:colOff>
      <xdr:row>50</xdr:row>
      <xdr:rowOff>9360</xdr:rowOff>
    </xdr:from>
    <xdr:to>
      <xdr:col>32</xdr:col>
      <xdr:colOff>465120</xdr:colOff>
      <xdr:row>66</xdr:row>
      <xdr:rowOff>160560</xdr:rowOff>
    </xdr:to>
    <xdr:graphicFrame macro="">
      <xdr:nvGraphicFramePr>
        <xdr:cNvPr id="955" name="Chart 11">
          <a:extLst>
            <a:ext uri="{FF2B5EF4-FFF2-40B4-BE49-F238E27FC236}">
              <a16:creationId xmlns:a16="http://schemas.microsoft.com/office/drawing/2014/main" id="{00000000-0008-0000-1700-0000BB03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07"/>
  <sheetViews>
    <sheetView tabSelected="1" zoomScale="113" zoomScaleNormal="110" workbookViewId="0">
      <selection activeCell="R36" sqref="R36"/>
    </sheetView>
  </sheetViews>
  <sheetFormatPr defaultColWidth="8.90625" defaultRowHeight="12.5" outlineLevelRow="1" outlineLevelCol="1" x14ac:dyDescent="0.25"/>
  <cols>
    <col min="1" max="1" width="9.453125" customWidth="1"/>
    <col min="2" max="2" width="2.7265625" customWidth="1"/>
    <col min="3" max="12" width="5.08984375" customWidth="1"/>
    <col min="13" max="13" width="6.7265625" customWidth="1"/>
    <col min="14" max="14" width="1.453125" customWidth="1"/>
    <col min="15" max="16" width="7.7265625" customWidth="1"/>
    <col min="17" max="18" width="3.81640625" customWidth="1"/>
    <col min="19" max="29" width="5.81640625" hidden="1" customWidth="1" outlineLevel="1"/>
    <col min="30" max="30" width="9.08984375" customWidth="1" collapsed="1"/>
    <col min="31" max="31" width="4.26953125" customWidth="1"/>
    <col min="32" max="32" width="5.81640625" customWidth="1"/>
  </cols>
  <sheetData>
    <row r="1" spans="1:27" ht="18" x14ac:dyDescent="0.4">
      <c r="A1" s="5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27" ht="13" x14ac:dyDescent="0.3">
      <c r="A2" s="7" t="s">
        <v>3</v>
      </c>
      <c r="B2" s="6"/>
      <c r="C2" s="6"/>
      <c r="D2" s="6"/>
      <c r="E2" s="6"/>
      <c r="G2" s="3"/>
      <c r="H2" s="6"/>
      <c r="I2" s="6"/>
      <c r="J2" s="6"/>
      <c r="K2" s="6"/>
      <c r="L2" s="6"/>
      <c r="M2" s="8"/>
      <c r="N2" s="6"/>
      <c r="O2" s="6"/>
      <c r="P2" s="6"/>
      <c r="Q2" s="6"/>
      <c r="R2" s="6"/>
      <c r="T2" s="9">
        <v>1</v>
      </c>
      <c r="U2" s="9">
        <v>2</v>
      </c>
      <c r="V2" s="9">
        <v>3</v>
      </c>
      <c r="W2" s="9">
        <v>4</v>
      </c>
      <c r="X2" s="9">
        <v>5</v>
      </c>
      <c r="Y2" s="9">
        <v>6</v>
      </c>
      <c r="Z2" s="9">
        <v>7</v>
      </c>
      <c r="AA2" s="9">
        <v>8</v>
      </c>
    </row>
    <row r="3" spans="1:27" ht="13" x14ac:dyDescent="0.3">
      <c r="A3" s="6"/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T3" s="11" t="s">
        <v>4</v>
      </c>
      <c r="U3" s="11" t="s">
        <v>5</v>
      </c>
      <c r="V3" s="11" t="s">
        <v>6</v>
      </c>
      <c r="W3" s="11" t="s">
        <v>7</v>
      </c>
      <c r="X3" s="11" t="s">
        <v>8</v>
      </c>
      <c r="Y3" s="11" t="s">
        <v>9</v>
      </c>
      <c r="Z3" s="11" t="s">
        <v>10</v>
      </c>
      <c r="AA3" s="11" t="s">
        <v>11</v>
      </c>
    </row>
    <row r="4" spans="1:27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T4" s="12"/>
      <c r="U4" s="12"/>
      <c r="V4" s="12"/>
      <c r="W4" s="12"/>
      <c r="X4" s="12"/>
      <c r="Y4" s="12"/>
      <c r="Z4" s="12"/>
    </row>
    <row r="5" spans="1:27" ht="13" x14ac:dyDescent="0.3">
      <c r="A5" s="13" t="s">
        <v>12</v>
      </c>
      <c r="B5" s="313">
        <v>3</v>
      </c>
      <c r="C5" s="313"/>
      <c r="D5" s="14" t="s">
        <v>13</v>
      </c>
      <c r="E5" s="6"/>
      <c r="F5" s="6"/>
      <c r="G5" s="6"/>
      <c r="H5" s="6"/>
      <c r="I5" s="6"/>
      <c r="J5" s="15" t="s">
        <v>14</v>
      </c>
      <c r="K5" s="2">
        <v>1</v>
      </c>
      <c r="L5" s="6"/>
      <c r="M5" s="6"/>
      <c r="N5" s="6"/>
      <c r="P5" s="16" t="str">
        <f>HLOOKUP(K5,T2:AA3,2)</f>
        <v>AHP 1-9</v>
      </c>
      <c r="Q5" s="17"/>
      <c r="R5" s="17"/>
      <c r="T5" s="12"/>
      <c r="U5" s="12"/>
      <c r="V5" s="12"/>
      <c r="W5" s="12"/>
      <c r="X5" s="12"/>
      <c r="Y5" s="12"/>
      <c r="Z5" s="12"/>
    </row>
    <row r="6" spans="1:27" ht="7.5" customHeight="1" x14ac:dyDescent="0.3">
      <c r="A6" s="13"/>
      <c r="B6" s="6"/>
      <c r="C6" s="1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R6" s="6"/>
    </row>
    <row r="7" spans="1:27" ht="13.5" customHeight="1" x14ac:dyDescent="0.3">
      <c r="A7" s="13" t="s">
        <v>15</v>
      </c>
      <c r="B7" s="313">
        <v>5</v>
      </c>
      <c r="C7" s="313"/>
      <c r="D7" s="14" t="s">
        <v>16</v>
      </c>
      <c r="E7" s="6"/>
      <c r="F7" s="6"/>
      <c r="G7" s="6"/>
      <c r="H7" s="6"/>
      <c r="I7" s="6"/>
      <c r="J7" s="19" t="s">
        <v>17</v>
      </c>
      <c r="K7" s="20">
        <v>0.1</v>
      </c>
      <c r="M7" s="6"/>
      <c r="N7" s="15" t="s">
        <v>18</v>
      </c>
      <c r="P7" s="16" t="e">
        <f>IF(B7&gt;1,IF(OR(K5=1,K5=4,K5=5),(1/M63-1/A91)/(1-1/A91),"n/a"),"n/a")</f>
        <v>#VALUE!</v>
      </c>
      <c r="Q7" s="6"/>
      <c r="R7" s="6"/>
    </row>
    <row r="8" spans="1:27" ht="7.5" customHeight="1" x14ac:dyDescent="0.25">
      <c r="A8" s="6"/>
      <c r="B8" s="6">
        <v>3</v>
      </c>
      <c r="C8" s="6">
        <v>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Q8" s="6"/>
      <c r="R8" s="6"/>
    </row>
    <row r="9" spans="1:27" ht="13.5" customHeight="1" x14ac:dyDescent="0.3">
      <c r="A9" s="13" t="s">
        <v>19</v>
      </c>
      <c r="B9" s="314">
        <v>0</v>
      </c>
      <c r="C9" s="314"/>
      <c r="D9" s="14" t="s">
        <v>20</v>
      </c>
      <c r="E9" s="6"/>
      <c r="F9" s="6"/>
      <c r="G9" s="6"/>
      <c r="H9" s="6"/>
      <c r="I9" s="6"/>
      <c r="J9" s="21">
        <f>2+MOD(B9,2)*11</f>
        <v>2</v>
      </c>
      <c r="K9" s="21">
        <f>7+(1+INT((B9-2)/2))*13</f>
        <v>7</v>
      </c>
      <c r="M9" s="315" t="str">
        <f ca="1">INDIRECT((ADDRESS(K9,J9,,,"multInp")))</f>
        <v>Consolidated</v>
      </c>
      <c r="N9" s="315"/>
      <c r="O9" s="315"/>
      <c r="P9" s="315"/>
      <c r="Q9" s="6"/>
      <c r="R9" s="6"/>
    </row>
    <row r="10" spans="1:27" ht="6" customHeight="1" x14ac:dyDescent="0.3">
      <c r="A10" s="13"/>
      <c r="B10" s="6"/>
      <c r="C10" s="2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Q10" s="6"/>
      <c r="R10" s="6"/>
    </row>
    <row r="11" spans="1:27" ht="27.75" customHeight="1" x14ac:dyDescent="0.25">
      <c r="A11" s="23" t="s">
        <v>21</v>
      </c>
      <c r="B11" s="309" t="s">
        <v>146</v>
      </c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6"/>
      <c r="R11" s="6"/>
    </row>
    <row r="12" spans="1:27" ht="6" customHeight="1" x14ac:dyDescent="0.3">
      <c r="A12" s="13"/>
      <c r="B12" s="6"/>
      <c r="C12" s="24"/>
      <c r="D12" s="25"/>
      <c r="E12" s="25"/>
      <c r="F12" s="25"/>
      <c r="G12" s="25"/>
      <c r="H12" s="25"/>
      <c r="I12" s="25"/>
      <c r="J12" s="25"/>
      <c r="K12" s="6"/>
      <c r="L12" s="6"/>
      <c r="M12" s="6"/>
      <c r="N12" s="6"/>
      <c r="O12" s="6"/>
      <c r="P12" s="6"/>
      <c r="Q12" s="6"/>
      <c r="R12" s="6"/>
    </row>
    <row r="13" spans="1:27" ht="12.75" customHeight="1" x14ac:dyDescent="0.25">
      <c r="A13" s="23" t="s">
        <v>22</v>
      </c>
      <c r="B13" s="309" t="s">
        <v>147</v>
      </c>
      <c r="C13" s="309"/>
      <c r="D13" s="30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27" ht="6" customHeight="1" x14ac:dyDescent="0.3">
      <c r="A14" s="13"/>
      <c r="B14" s="6"/>
      <c r="C14" s="26"/>
      <c r="D14" s="26"/>
      <c r="E14" s="26"/>
      <c r="F14" s="26"/>
      <c r="G14" s="26"/>
      <c r="H14" s="26"/>
      <c r="I14" s="26"/>
      <c r="J14" s="26"/>
      <c r="K14" s="6"/>
      <c r="L14" s="6"/>
      <c r="M14" s="6"/>
      <c r="N14" s="6"/>
      <c r="O14" s="7"/>
      <c r="P14" s="7"/>
      <c r="Q14" s="6"/>
      <c r="R14" s="6"/>
    </row>
    <row r="15" spans="1:27" ht="13" x14ac:dyDescent="0.25">
      <c r="A15" s="23" t="s">
        <v>23</v>
      </c>
      <c r="B15" s="310"/>
      <c r="C15" s="310"/>
      <c r="D15" s="310"/>
      <c r="E15" s="25"/>
      <c r="F15" s="25"/>
      <c r="G15" s="27" t="s">
        <v>24</v>
      </c>
      <c r="H15" s="28">
        <v>1E-8</v>
      </c>
      <c r="I15" s="25"/>
      <c r="J15" s="29" t="s">
        <v>25</v>
      </c>
      <c r="K15" s="30">
        <f ca="1">'10x10'!M40</f>
        <v>9</v>
      </c>
      <c r="L15" s="6"/>
      <c r="M15" s="6"/>
      <c r="N15" s="27" t="s">
        <v>26</v>
      </c>
      <c r="O15" s="31">
        <f ca="1">check</f>
        <v>2.5920509987378472E-9</v>
      </c>
      <c r="P15" s="31"/>
      <c r="Q15" s="6"/>
      <c r="R15" s="6"/>
    </row>
    <row r="16" spans="1:27" ht="7.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38" ht="13" x14ac:dyDescent="0.3">
      <c r="A17" s="23" t="s">
        <v>27</v>
      </c>
      <c r="B17" s="311" t="s">
        <v>28</v>
      </c>
      <c r="C17" s="311"/>
      <c r="D17" s="311"/>
      <c r="E17" s="311"/>
      <c r="F17" s="32" t="s">
        <v>1</v>
      </c>
      <c r="G17" s="33"/>
      <c r="H17" s="32"/>
      <c r="I17" s="32"/>
      <c r="J17" s="32"/>
      <c r="K17" s="32"/>
      <c r="L17" s="32"/>
      <c r="M17" s="32"/>
      <c r="N17" s="34"/>
      <c r="O17" s="35" t="s">
        <v>29</v>
      </c>
      <c r="P17" s="36" t="s">
        <v>30</v>
      </c>
      <c r="Q17" s="18"/>
      <c r="R17" s="18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8" x14ac:dyDescent="0.25">
      <c r="A18" s="37"/>
      <c r="B18" s="38">
        <v>1</v>
      </c>
      <c r="C18" s="312" t="s">
        <v>148</v>
      </c>
      <c r="D18" s="312"/>
      <c r="E18" s="312"/>
      <c r="F18" s="304"/>
      <c r="G18" s="304"/>
      <c r="H18" s="304"/>
      <c r="I18" s="304"/>
      <c r="J18" s="304"/>
      <c r="K18" s="304"/>
      <c r="L18" s="304"/>
      <c r="M18" s="304"/>
      <c r="N18" s="304"/>
      <c r="O18" s="39">
        <f t="shared" ref="O18:O27" ca="1" si="0">O38</f>
        <v>0.36866813748253358</v>
      </c>
      <c r="P18" s="40">
        <f t="shared" ref="P18:P27" ca="1" si="1">IF(B18&gt;$B$5,0,_xlfn.STDEV.S(T50:AC50))</f>
        <v>3.2454462569227731E-2</v>
      </c>
      <c r="Q18" s="41">
        <f t="shared" ref="Q18:Q27" ca="1" si="2">IF(O18&lt;&gt;0,P18/O18,0)</f>
        <v>8.8031644911991697E-2</v>
      </c>
      <c r="R18" s="42"/>
      <c r="S18" s="43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6"/>
      <c r="AF18" s="46"/>
      <c r="AG18" s="46"/>
      <c r="AH18" s="46"/>
      <c r="AI18" s="46"/>
      <c r="AJ18" s="46"/>
      <c r="AK18" s="46"/>
      <c r="AL18" s="46"/>
    </row>
    <row r="19" spans="1:38" x14ac:dyDescent="0.25">
      <c r="A19" s="47"/>
      <c r="B19" s="38">
        <v>2</v>
      </c>
      <c r="C19" s="303" t="s">
        <v>149</v>
      </c>
      <c r="D19" s="303"/>
      <c r="E19" s="303"/>
      <c r="F19" s="304"/>
      <c r="G19" s="304"/>
      <c r="H19" s="304"/>
      <c r="I19" s="304"/>
      <c r="J19" s="304"/>
      <c r="K19" s="304"/>
      <c r="L19" s="304"/>
      <c r="M19" s="304"/>
      <c r="N19" s="304"/>
      <c r="O19" s="39">
        <f t="shared" ca="1" si="0"/>
        <v>0.22586547696475914</v>
      </c>
      <c r="P19" s="40">
        <f t="shared" ca="1" si="1"/>
        <v>1.988330946603933E-2</v>
      </c>
      <c r="Q19" s="41">
        <f t="shared" ca="1" si="2"/>
        <v>8.8031644911991752E-2</v>
      </c>
      <c r="R19" s="42"/>
      <c r="S19" s="43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 s="48"/>
      <c r="AF19" s="48"/>
      <c r="AG19" s="48"/>
      <c r="AH19" s="48"/>
      <c r="AI19" s="48"/>
      <c r="AJ19" s="48"/>
      <c r="AK19" s="48"/>
      <c r="AL19" s="48"/>
    </row>
    <row r="20" spans="1:38" x14ac:dyDescent="0.25">
      <c r="A20" s="47"/>
      <c r="B20" s="38">
        <v>3</v>
      </c>
      <c r="C20" s="303" t="s">
        <v>150</v>
      </c>
      <c r="D20" s="303"/>
      <c r="E20" s="303"/>
      <c r="F20" s="304"/>
      <c r="G20" s="304"/>
      <c r="H20" s="304"/>
      <c r="I20" s="304"/>
      <c r="J20" s="304"/>
      <c r="K20" s="304"/>
      <c r="L20" s="304"/>
      <c r="M20" s="304"/>
      <c r="N20" s="304"/>
      <c r="O20" s="39">
        <f t="shared" ca="1" si="0"/>
        <v>0.40546638535476737</v>
      </c>
      <c r="P20" s="40">
        <f t="shared" ca="1" si="1"/>
        <v>3.5693872859299633E-2</v>
      </c>
      <c r="Q20" s="41">
        <f t="shared" ca="1" si="2"/>
        <v>8.8031644911991599E-2</v>
      </c>
      <c r="R20" s="42"/>
      <c r="S20" s="43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8"/>
      <c r="AF20" s="48"/>
      <c r="AG20" s="48"/>
      <c r="AH20" s="48"/>
      <c r="AI20" s="48"/>
      <c r="AJ20" s="48"/>
      <c r="AK20" s="48"/>
      <c r="AL20" s="48"/>
    </row>
    <row r="21" spans="1:38" x14ac:dyDescent="0.25">
      <c r="A21" s="47"/>
      <c r="B21" s="38">
        <v>4</v>
      </c>
      <c r="C21" s="303"/>
      <c r="D21" s="303"/>
      <c r="E21" s="303"/>
      <c r="F21" s="304"/>
      <c r="G21" s="304"/>
      <c r="H21" s="304"/>
      <c r="I21" s="304"/>
      <c r="J21" s="304"/>
      <c r="K21" s="304"/>
      <c r="L21" s="304"/>
      <c r="M21" s="304"/>
      <c r="N21" s="304"/>
      <c r="O21" s="39">
        <f t="shared" ca="1" si="0"/>
        <v>2.8277088936873212E-11</v>
      </c>
      <c r="P21" s="40">
        <f t="shared" si="1"/>
        <v>0</v>
      </c>
      <c r="Q21" s="41">
        <f t="shared" ca="1" si="2"/>
        <v>0</v>
      </c>
      <c r="R21" s="42"/>
      <c r="S21" s="43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  <c r="AE21" s="48"/>
      <c r="AF21" s="48"/>
      <c r="AG21" s="48"/>
      <c r="AH21" s="48"/>
      <c r="AI21" s="48"/>
      <c r="AJ21" s="48"/>
      <c r="AK21" s="48"/>
      <c r="AL21" s="48"/>
    </row>
    <row r="22" spans="1:38" x14ac:dyDescent="0.25">
      <c r="A22" s="47"/>
      <c r="B22" s="38">
        <v>5</v>
      </c>
      <c r="C22" s="303"/>
      <c r="D22" s="303"/>
      <c r="E22" s="303"/>
      <c r="F22" s="304"/>
      <c r="G22" s="304"/>
      <c r="H22" s="304"/>
      <c r="I22" s="304"/>
      <c r="J22" s="304"/>
      <c r="K22" s="304"/>
      <c r="L22" s="304"/>
      <c r="M22" s="304"/>
      <c r="N22" s="304"/>
      <c r="O22" s="39">
        <f t="shared" ca="1" si="0"/>
        <v>2.8277088936873212E-11</v>
      </c>
      <c r="P22" s="40">
        <f t="shared" si="1"/>
        <v>0</v>
      </c>
      <c r="Q22" s="41">
        <f t="shared" ca="1" si="2"/>
        <v>0</v>
      </c>
      <c r="R22" s="42"/>
      <c r="S22" s="43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8"/>
      <c r="AF22" s="48"/>
      <c r="AG22" s="48"/>
      <c r="AH22" s="48"/>
      <c r="AI22" s="48"/>
      <c r="AJ22" s="48"/>
      <c r="AK22" s="48"/>
      <c r="AL22" s="48"/>
    </row>
    <row r="23" spans="1:38" x14ac:dyDescent="0.25">
      <c r="A23" s="47"/>
      <c r="B23" s="38">
        <v>6</v>
      </c>
      <c r="C23" s="303"/>
      <c r="D23" s="303"/>
      <c r="E23" s="303"/>
      <c r="F23" s="304"/>
      <c r="G23" s="304"/>
      <c r="H23" s="304"/>
      <c r="I23" s="304"/>
      <c r="J23" s="304"/>
      <c r="K23" s="304"/>
      <c r="L23" s="304"/>
      <c r="M23" s="304"/>
      <c r="N23" s="304"/>
      <c r="O23" s="39">
        <f t="shared" ca="1" si="0"/>
        <v>2.8277088936873212E-11</v>
      </c>
      <c r="P23" s="40">
        <f t="shared" si="1"/>
        <v>0</v>
      </c>
      <c r="Q23" s="41">
        <f t="shared" ca="1" si="2"/>
        <v>0</v>
      </c>
      <c r="R23" s="42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  <c r="AE23" s="48"/>
      <c r="AF23" s="48"/>
      <c r="AG23" s="48"/>
      <c r="AH23" s="48"/>
      <c r="AI23" s="48"/>
      <c r="AJ23" s="48"/>
      <c r="AK23" s="48"/>
      <c r="AL23" s="48"/>
    </row>
    <row r="24" spans="1:38" x14ac:dyDescent="0.25">
      <c r="A24" s="47"/>
      <c r="B24" s="38">
        <v>7</v>
      </c>
      <c r="C24" s="303"/>
      <c r="D24" s="303"/>
      <c r="E24" s="303"/>
      <c r="F24" s="304"/>
      <c r="G24" s="304"/>
      <c r="H24" s="304"/>
      <c r="I24" s="304"/>
      <c r="J24" s="304"/>
      <c r="K24" s="304"/>
      <c r="L24" s="304"/>
      <c r="M24" s="304"/>
      <c r="N24" s="304"/>
      <c r="O24" s="39">
        <f t="shared" ca="1" si="0"/>
        <v>2.8277088936873212E-11</v>
      </c>
      <c r="P24" s="40">
        <f t="shared" si="1"/>
        <v>0</v>
      </c>
      <c r="Q24" s="41">
        <f t="shared" ca="1" si="2"/>
        <v>0</v>
      </c>
      <c r="R24" s="42"/>
      <c r="S24" s="44"/>
      <c r="T24" s="44"/>
      <c r="U24" s="44"/>
      <c r="V24" s="44"/>
      <c r="W24" s="44"/>
      <c r="X24" s="44"/>
      <c r="Y24" s="44"/>
    </row>
    <row r="25" spans="1:38" x14ac:dyDescent="0.25">
      <c r="A25" s="47"/>
      <c r="B25" s="38">
        <v>8</v>
      </c>
      <c r="C25" s="303"/>
      <c r="D25" s="303"/>
      <c r="E25" s="303"/>
      <c r="F25" s="304"/>
      <c r="G25" s="304"/>
      <c r="H25" s="304"/>
      <c r="I25" s="304"/>
      <c r="J25" s="304"/>
      <c r="K25" s="304"/>
      <c r="L25" s="304"/>
      <c r="M25" s="304"/>
      <c r="N25" s="304"/>
      <c r="O25" s="39">
        <f t="shared" ca="1" si="0"/>
        <v>2.8277088936873212E-11</v>
      </c>
      <c r="P25" s="40">
        <f t="shared" si="1"/>
        <v>0</v>
      </c>
      <c r="Q25" s="41">
        <f t="shared" ca="1" si="2"/>
        <v>0</v>
      </c>
      <c r="R25" s="42"/>
      <c r="S25" s="44"/>
      <c r="T25" s="3"/>
      <c r="U25" s="44"/>
      <c r="V25" s="44"/>
      <c r="W25" s="44"/>
      <c r="X25" s="44"/>
      <c r="Y25" s="44"/>
      <c r="Z25" s="44"/>
      <c r="AA25" s="44"/>
      <c r="AB25" s="44"/>
      <c r="AC25" s="44"/>
    </row>
    <row r="26" spans="1:38" x14ac:dyDescent="0.25">
      <c r="A26" s="47"/>
      <c r="B26" s="38">
        <v>9</v>
      </c>
      <c r="C26" s="305"/>
      <c r="D26" s="305"/>
      <c r="E26" s="305"/>
      <c r="F26" s="306" t="s">
        <v>31</v>
      </c>
      <c r="G26" s="306"/>
      <c r="H26" s="306"/>
      <c r="I26" s="306"/>
      <c r="J26" s="306"/>
      <c r="K26" s="306"/>
      <c r="L26" s="306"/>
      <c r="M26" s="306"/>
      <c r="N26" s="306"/>
      <c r="O26" s="39">
        <f t="shared" ca="1" si="0"/>
        <v>2.8277088936873212E-11</v>
      </c>
      <c r="P26" s="40">
        <f t="shared" si="1"/>
        <v>0</v>
      </c>
      <c r="Q26" s="41">
        <f t="shared" ca="1" si="2"/>
        <v>0</v>
      </c>
      <c r="R26" s="42"/>
      <c r="S26" s="44"/>
    </row>
    <row r="27" spans="1:38" x14ac:dyDescent="0.25">
      <c r="A27" s="47"/>
      <c r="B27" s="49">
        <v>10</v>
      </c>
      <c r="C27" s="307"/>
      <c r="D27" s="307"/>
      <c r="E27" s="307"/>
      <c r="F27" s="308" t="s">
        <v>32</v>
      </c>
      <c r="G27" s="308"/>
      <c r="H27" s="308"/>
      <c r="I27" s="308"/>
      <c r="J27" s="308"/>
      <c r="K27" s="308"/>
      <c r="L27" s="308"/>
      <c r="M27" s="308"/>
      <c r="N27" s="308"/>
      <c r="O27" s="50">
        <f t="shared" ca="1" si="0"/>
        <v>2.8277088936873212E-11</v>
      </c>
      <c r="P27" s="51">
        <f t="shared" si="1"/>
        <v>0</v>
      </c>
      <c r="Q27" s="41">
        <f t="shared" ca="1" si="2"/>
        <v>0</v>
      </c>
      <c r="R27" s="42"/>
      <c r="S27" s="44"/>
    </row>
    <row r="28" spans="1:38" ht="6" customHeight="1" x14ac:dyDescent="0.3">
      <c r="A28" s="47"/>
      <c r="B28" s="52"/>
      <c r="C28" s="53"/>
      <c r="D28" s="54"/>
      <c r="E28" s="54"/>
      <c r="F28" s="55"/>
      <c r="G28" s="7"/>
      <c r="H28" s="7"/>
      <c r="I28" s="7"/>
      <c r="J28" s="7"/>
      <c r="K28" s="7"/>
      <c r="L28" s="7"/>
      <c r="M28" s="7"/>
      <c r="N28" s="6"/>
      <c r="O28" s="56"/>
      <c r="P28" s="56"/>
      <c r="Q28" s="41"/>
      <c r="R28" s="6"/>
    </row>
    <row r="29" spans="1:38" ht="6" customHeight="1" x14ac:dyDescent="0.3">
      <c r="A29" s="47"/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60"/>
      <c r="Q29" s="6"/>
      <c r="R29" s="6"/>
    </row>
    <row r="30" spans="1:38" ht="13" x14ac:dyDescent="0.3">
      <c r="A30" s="61" t="s">
        <v>33</v>
      </c>
      <c r="B30" s="62"/>
      <c r="C30" s="52" t="s">
        <v>34</v>
      </c>
      <c r="D30" s="6"/>
      <c r="E30" s="6"/>
      <c r="F30" s="6"/>
      <c r="G30" s="6"/>
      <c r="H30" s="6"/>
      <c r="I30" s="6"/>
      <c r="J30" s="6"/>
      <c r="K30" s="15" t="s">
        <v>35</v>
      </c>
      <c r="L30" s="301">
        <f ca="1">'10x10'!AG38</f>
        <v>3.0077696403676271</v>
      </c>
      <c r="M30" s="301"/>
      <c r="N30" s="6"/>
      <c r="O30" s="63" t="s">
        <v>36</v>
      </c>
      <c r="P30" s="40">
        <f ca="1">SQRT(SUMSQ(Q18:Q27)/B5)</f>
        <v>8.8031644911991683E-2</v>
      </c>
      <c r="Q30" s="6"/>
      <c r="R30" s="6"/>
    </row>
    <row r="31" spans="1:38" ht="6" customHeight="1" x14ac:dyDescent="0.3">
      <c r="A31" s="47"/>
      <c r="B31" s="62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56"/>
      <c r="P31" s="64"/>
      <c r="Q31" s="6"/>
      <c r="R31" s="6"/>
    </row>
    <row r="32" spans="1:38" ht="13" x14ac:dyDescent="0.3">
      <c r="A32" s="65"/>
      <c r="B32" s="62"/>
      <c r="C32" s="52" t="s">
        <v>37</v>
      </c>
      <c r="D32" s="6"/>
      <c r="E32" s="6"/>
      <c r="F32" s="6"/>
      <c r="G32" s="66">
        <v>0.37</v>
      </c>
      <c r="H32" s="27" t="s">
        <v>38</v>
      </c>
      <c r="I32" s="67">
        <f ca="1">IF(B5&gt;2,2*AC37/(B5-1)/(B5-2),"n/a")</f>
        <v>2.3293846673698243E-2</v>
      </c>
      <c r="J32" s="29" t="s">
        <v>39</v>
      </c>
      <c r="K32" s="68">
        <f ca="1">IF(B5&gt;2,2/($B$5-1)/$B$5*SUM(T63:AC72),"n/a")</f>
        <v>0.33333333333333331</v>
      </c>
      <c r="L32" s="29" t="s">
        <v>40</v>
      </c>
      <c r="M32" s="69">
        <f ca="1">(L30-B5)/((2.7699*B5-4.3513)-B5)</f>
        <v>8.1068868610466062E-3</v>
      </c>
      <c r="N32" s="6"/>
      <c r="O32" s="70" t="s">
        <v>41</v>
      </c>
      <c r="P32" s="71">
        <f ca="1">SQRT(2*ROUND((L30-B5),5)/(B5-1))</f>
        <v>8.8147603484156054E-2</v>
      </c>
      <c r="Q32" s="6"/>
      <c r="R32" s="6"/>
      <c r="T32" s="72"/>
    </row>
    <row r="33" spans="1:40" ht="7.5" customHeight="1" x14ac:dyDescent="0.3">
      <c r="A33" s="47"/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6"/>
      <c r="Q33" s="6"/>
      <c r="R33" s="6"/>
    </row>
    <row r="34" spans="1:40" ht="13" x14ac:dyDescent="0.3">
      <c r="A34" s="4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7"/>
      <c r="P34" s="77"/>
      <c r="Q34" s="6"/>
      <c r="R34" s="6"/>
    </row>
    <row r="35" spans="1:40" ht="7.5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6"/>
      <c r="R35" s="6"/>
    </row>
    <row r="36" spans="1:40" ht="60" customHeight="1" x14ac:dyDescent="0.3">
      <c r="A36" s="80" t="s">
        <v>42</v>
      </c>
      <c r="B36" s="6"/>
      <c r="C36" s="81" t="str">
        <f t="array" ref="C36:L36">TRANSPOSE(C18:C27)</f>
        <v>Conventional Cashier</v>
      </c>
      <c r="D36" s="81" t="str">
        <v>Self-Checkout</v>
      </c>
      <c r="E36" s="81" t="str">
        <v>Unmanned Shop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0</v>
      </c>
      <c r="M36" s="302" t="s">
        <v>43</v>
      </c>
      <c r="N36" s="302"/>
      <c r="O36" s="302"/>
      <c r="P36" s="82"/>
      <c r="Q36" s="6"/>
      <c r="R36" s="6"/>
      <c r="T36" s="83" t="s">
        <v>44</v>
      </c>
    </row>
    <row r="37" spans="1:40" ht="12.75" customHeight="1" x14ac:dyDescent="0.25">
      <c r="A37" s="6"/>
      <c r="C37" s="84">
        <v>1</v>
      </c>
      <c r="D37" s="84">
        <v>2</v>
      </c>
      <c r="E37" s="84">
        <v>3</v>
      </c>
      <c r="F37" s="84">
        <v>4</v>
      </c>
      <c r="G37" s="84">
        <v>5</v>
      </c>
      <c r="H37" s="84">
        <v>6</v>
      </c>
      <c r="I37" s="84">
        <v>7</v>
      </c>
      <c r="J37" s="84">
        <v>8</v>
      </c>
      <c r="K37" s="84">
        <v>9</v>
      </c>
      <c r="L37" s="84">
        <v>10</v>
      </c>
      <c r="M37" s="6"/>
      <c r="N37" s="6"/>
      <c r="O37" s="6"/>
      <c r="P37" s="6"/>
      <c r="Q37" s="6"/>
      <c r="R37" s="6"/>
      <c r="T37" s="85">
        <v>2</v>
      </c>
      <c r="U37" s="85">
        <v>3</v>
      </c>
      <c r="V37" s="85">
        <v>4</v>
      </c>
      <c r="W37" s="85">
        <v>5</v>
      </c>
      <c r="X37" s="85">
        <v>6</v>
      </c>
      <c r="Y37" s="85">
        <v>7</v>
      </c>
      <c r="Z37" s="85">
        <v>8</v>
      </c>
      <c r="AA37" s="85">
        <v>9</v>
      </c>
      <c r="AB37" s="86">
        <v>10</v>
      </c>
      <c r="AC37" s="84">
        <f ca="1">SUM(AC38:AC46)</f>
        <v>2.3293846673698243E-2</v>
      </c>
      <c r="AM37" s="87"/>
      <c r="AN37" s="87"/>
    </row>
    <row r="38" spans="1:40" ht="20.149999999999999" customHeight="1" x14ac:dyDescent="0.25">
      <c r="A38" s="88" t="str">
        <f t="array" ref="A38:A47">C18:C27</f>
        <v>Conventional Cashier</v>
      </c>
      <c r="B38" s="89">
        <v>1</v>
      </c>
      <c r="C38" s="90">
        <v>1</v>
      </c>
      <c r="D38" s="91">
        <f t="shared" ref="D38:L38" ca="1" si="3">IF(D50&lt;&gt;0,IF(D50&gt;=1, CHOOSE( $K$5, D50, LOG(D50+1,2), SQRT(D50), 9/(10-D50), (9+($B$5-1)*D50)/(9+$B$5-D50),  D50^2, 2^(D50-1),D50^(1+LN($B$5-1)/LN(9))), CHOOSE( $K$5, 1/D50, LOG(1/D50+1,2), SQRT(1/D50), 9/(10-1/D50), (9+($B$5-1)/D50)/(9+$B$5-1/D50),  (1/D50)^2, 2^(1/D50-1),(1/D50)^(1+LN($B$5-1)/LN(9)))^-1),0)</f>
        <v>1.7826024579660034</v>
      </c>
      <c r="E38" s="91">
        <f t="shared" ca="1" si="3"/>
        <v>0.83255320740187311</v>
      </c>
      <c r="F38" s="91">
        <f t="shared" si="3"/>
        <v>0</v>
      </c>
      <c r="G38" s="91">
        <f t="shared" si="3"/>
        <v>0</v>
      </c>
      <c r="H38" s="91">
        <f t="shared" si="3"/>
        <v>0</v>
      </c>
      <c r="I38" s="91">
        <f t="shared" si="3"/>
        <v>0</v>
      </c>
      <c r="J38" s="91">
        <f t="shared" si="3"/>
        <v>0</v>
      </c>
      <c r="K38" s="91">
        <f t="shared" si="3"/>
        <v>0</v>
      </c>
      <c r="L38" s="91">
        <f t="shared" si="3"/>
        <v>0</v>
      </c>
      <c r="M38" s="6"/>
      <c r="N38" s="6"/>
      <c r="O38" s="92">
        <f t="array" aca="1" ref="O38:O47" ca="1">EV_20</f>
        <v>0.36866813748253358</v>
      </c>
      <c r="P38" s="92"/>
      <c r="Q38" s="6"/>
      <c r="R38" s="6"/>
      <c r="T38" s="84">
        <f t="shared" ref="T38:AB38" ca="1" si="4">IF(OR($B38&gt;$B$5,T$37&gt;$B$5),0,(LN(OFFSET($B$37,$B38,T$37))-LN(OFFSET($O$37,$B38,0)/OFFSET($O$37,T$37,0)))^2)</f>
        <v>7.7646155578994383E-3</v>
      </c>
      <c r="U38" s="84">
        <f t="shared" ca="1" si="4"/>
        <v>7.764615557899375E-3</v>
      </c>
      <c r="V38" s="84">
        <f t="shared" ca="1" si="4"/>
        <v>0</v>
      </c>
      <c r="W38" s="84">
        <f t="shared" ca="1" si="4"/>
        <v>0</v>
      </c>
      <c r="X38" s="84">
        <f t="shared" ca="1" si="4"/>
        <v>0</v>
      </c>
      <c r="Y38" s="84">
        <f t="shared" ca="1" si="4"/>
        <v>0</v>
      </c>
      <c r="Z38" s="84">
        <f t="shared" ca="1" si="4"/>
        <v>0</v>
      </c>
      <c r="AA38" s="84">
        <f t="shared" ca="1" si="4"/>
        <v>0</v>
      </c>
      <c r="AB38" s="93">
        <f t="shared" ca="1" si="4"/>
        <v>0</v>
      </c>
      <c r="AC38" s="84">
        <f t="shared" ref="AC38:AC46" ca="1" si="5">SUM(T38:AB38)</f>
        <v>1.5529231115798812E-2</v>
      </c>
      <c r="AD38" s="84"/>
      <c r="AH38" s="72"/>
      <c r="AI38" s="72"/>
      <c r="AJ38" s="72"/>
      <c r="AK38" s="72"/>
      <c r="AL38" s="72"/>
      <c r="AM38" s="94"/>
      <c r="AN38" s="72"/>
    </row>
    <row r="39" spans="1:40" ht="20.149999999999999" customHeight="1" x14ac:dyDescent="0.25">
      <c r="A39" s="88" t="str">
        <v>Self-Checkout</v>
      </c>
      <c r="B39" s="89">
        <v>2</v>
      </c>
      <c r="C39" s="95">
        <f t="shared" ref="C39:C47" ca="1" si="6">IF(INDEX($C$38:$L$47,C$37,$B39)&lt;&gt;0,1/INDEX($C$38:$L$47,C$37,$B39),0)</f>
        <v>0.56097757272309978</v>
      </c>
      <c r="D39" s="90">
        <v>1</v>
      </c>
      <c r="E39" s="91">
        <f t="shared" ref="E39:L39" ca="1" si="7">IF(E51&lt;&gt;0,IF(E51&gt;=1, CHOOSE( $K$5, E51, LOG(E51+1,2), SQRT(E51), 9/(10-E51), (9+($B$5-1)*E51)/(9+$B$5-E51),  E51^2, 2^(E51-1),E51^(1+LN($B$5-1)/LN(9))), CHOOSE( $K$5, 1/E51, LOG(1/E51+1,2), SQRT(1/E51), 9/(10-1/E51), (9+($B$5-1)/E51)/(9+$B$5-1/E51),  (1/E51)^2, 2^(1/E51-1),(1/E51)^(1+LN($B$5-1)/LN(9)))^-1),0)</f>
        <v>0.60836434189320576</v>
      </c>
      <c r="F39" s="91">
        <f t="shared" si="7"/>
        <v>0</v>
      </c>
      <c r="G39" s="91">
        <f t="shared" si="7"/>
        <v>0</v>
      </c>
      <c r="H39" s="91">
        <f t="shared" si="7"/>
        <v>0</v>
      </c>
      <c r="I39" s="91">
        <f t="shared" si="7"/>
        <v>0</v>
      </c>
      <c r="J39" s="91">
        <f t="shared" si="7"/>
        <v>0</v>
      </c>
      <c r="K39" s="91">
        <f t="shared" si="7"/>
        <v>0</v>
      </c>
      <c r="L39" s="91">
        <f t="shared" si="7"/>
        <v>0</v>
      </c>
      <c r="M39" s="6"/>
      <c r="N39" s="6"/>
      <c r="O39" s="92">
        <f ca="1"/>
        <v>0.22586547696475914</v>
      </c>
      <c r="P39" s="92"/>
      <c r="Q39" s="6"/>
      <c r="R39" s="6"/>
      <c r="T39" s="84"/>
      <c r="U39" s="84">
        <f t="shared" ref="U39:AB39" ca="1" si="8">IF(OR($B39&gt;$B$5,U$37&gt;$B$5),0,(LN(OFFSET($B$37,$B39,U$37))-LN(OFFSET($O$37,$B39,0)/OFFSET($O$37,U$37,0)))^2)</f>
        <v>7.7646155578994288E-3</v>
      </c>
      <c r="V39" s="84">
        <f t="shared" ca="1" si="8"/>
        <v>0</v>
      </c>
      <c r="W39" s="84">
        <f t="shared" ca="1" si="8"/>
        <v>0</v>
      </c>
      <c r="X39" s="84">
        <f t="shared" ca="1" si="8"/>
        <v>0</v>
      </c>
      <c r="Y39" s="84">
        <f t="shared" ca="1" si="8"/>
        <v>0</v>
      </c>
      <c r="Z39" s="84">
        <f t="shared" ca="1" si="8"/>
        <v>0</v>
      </c>
      <c r="AA39" s="84">
        <f t="shared" ca="1" si="8"/>
        <v>0</v>
      </c>
      <c r="AB39" s="93">
        <f t="shared" ca="1" si="8"/>
        <v>0</v>
      </c>
      <c r="AC39" s="84">
        <f t="shared" ca="1" si="5"/>
        <v>7.7646155578994288E-3</v>
      </c>
      <c r="AH39" s="72"/>
      <c r="AI39" s="72"/>
      <c r="AJ39" s="72"/>
      <c r="AK39" s="72"/>
      <c r="AL39" s="72"/>
      <c r="AM39" s="94"/>
      <c r="AN39" s="72"/>
    </row>
    <row r="40" spans="1:40" ht="20.149999999999999" customHeight="1" x14ac:dyDescent="0.25">
      <c r="A40" s="88" t="str">
        <v>Unmanned Shop</v>
      </c>
      <c r="B40" s="89">
        <v>3</v>
      </c>
      <c r="C40" s="95">
        <f t="shared" ca="1" si="6"/>
        <v>1.2011244339814313</v>
      </c>
      <c r="D40" s="95">
        <f t="shared" ref="D40:D47" ca="1" si="9">IF(INDEX($C$38:$L$47,D$37,$B40)&lt;&gt;0,1/INDEX($C$38:$L$47,D$37,$B40),0)</f>
        <v>1.6437518295172258</v>
      </c>
      <c r="E40" s="90">
        <v>1</v>
      </c>
      <c r="F40" s="91">
        <f t="shared" ref="F40:L40" si="10">IF(F52&lt;&gt;0,IF(F52&gt;=1, CHOOSE( $K$5, F52, LOG(F52+1,2), SQRT(F52), 9/(10-F52), (9+($B$5-1)*F52)/(9+$B$5-F52),  F52^2, 2^(F52-1),F52^(1+LN($B$5-1)/LN(9))), CHOOSE( $K$5, 1/F52, LOG(1/F52+1,2), SQRT(1/F52), 9/(10-1/F52), (9+($B$5-1)/F52)/(9+$B$5-1/F52),  (1/F52)^2, 2^(1/F52-1),(1/F52)^(1+LN($B$5-1)/LN(9)))^-1),0)</f>
        <v>0</v>
      </c>
      <c r="G40" s="91">
        <f t="shared" si="10"/>
        <v>0</v>
      </c>
      <c r="H40" s="91">
        <f t="shared" si="10"/>
        <v>0</v>
      </c>
      <c r="I40" s="91">
        <f t="shared" si="10"/>
        <v>0</v>
      </c>
      <c r="J40" s="91">
        <f t="shared" si="10"/>
        <v>0</v>
      </c>
      <c r="K40" s="91">
        <f t="shared" si="10"/>
        <v>0</v>
      </c>
      <c r="L40" s="91">
        <f t="shared" si="10"/>
        <v>0</v>
      </c>
      <c r="M40" s="6"/>
      <c r="N40" s="6"/>
      <c r="O40" s="92">
        <f ca="1"/>
        <v>0.40546638535476737</v>
      </c>
      <c r="P40" s="92"/>
      <c r="Q40" s="6"/>
      <c r="R40" s="6"/>
      <c r="T40" s="84"/>
      <c r="U40" s="84"/>
      <c r="V40" s="84">
        <f t="shared" ref="V40:AB40" ca="1" si="11">IF(OR($B40&gt;$B$5,V$37&gt;$B$5),0,(LN(OFFSET($B$37,$B40,V$37))-LN(OFFSET($O$37,$B40,0)/OFFSET($O$37,V$37,0)))^2)</f>
        <v>0</v>
      </c>
      <c r="W40" s="84">
        <f t="shared" ca="1" si="11"/>
        <v>0</v>
      </c>
      <c r="X40" s="84">
        <f t="shared" ca="1" si="11"/>
        <v>0</v>
      </c>
      <c r="Y40" s="84">
        <f t="shared" ca="1" si="11"/>
        <v>0</v>
      </c>
      <c r="Z40" s="84">
        <f t="shared" ca="1" si="11"/>
        <v>0</v>
      </c>
      <c r="AA40" s="84">
        <f t="shared" ca="1" si="11"/>
        <v>0</v>
      </c>
      <c r="AB40" s="93">
        <f t="shared" ca="1" si="11"/>
        <v>0</v>
      </c>
      <c r="AC40" s="84">
        <f t="shared" ca="1" si="5"/>
        <v>0</v>
      </c>
      <c r="AH40" s="72"/>
      <c r="AI40" s="72"/>
      <c r="AJ40" s="72"/>
      <c r="AK40" s="72"/>
      <c r="AL40" s="72"/>
      <c r="AM40" s="94"/>
      <c r="AN40" s="72"/>
    </row>
    <row r="41" spans="1:40" ht="20.149999999999999" customHeight="1" x14ac:dyDescent="0.25">
      <c r="A41" s="88">
        <v>0</v>
      </c>
      <c r="B41" s="89">
        <v>4</v>
      </c>
      <c r="C41" s="95">
        <f t="shared" si="6"/>
        <v>0</v>
      </c>
      <c r="D41" s="95">
        <f t="shared" si="9"/>
        <v>0</v>
      </c>
      <c r="E41" s="95">
        <f t="shared" ref="E41:E47" si="12">IF(INDEX($C$38:$L$47,E$37,$B41)&lt;&gt;0,1/INDEX($C$38:$L$47,E$37,$B41),0)</f>
        <v>0</v>
      </c>
      <c r="F41" s="90">
        <v>1</v>
      </c>
      <c r="G41" s="91">
        <f t="shared" ref="G41:L41" si="13">IF(G53&lt;&gt;0,IF(G53&gt;=1, CHOOSE( $K$5, G53, LOG(G53+1,2), SQRT(G53), 9/(10-G53), (9+($B$5-1)*G53)/(9+$B$5-G53),  G53^2, 2^(G53-1),G53^(1+LN($B$5-1)/LN(9))), CHOOSE( $K$5, 1/G53, LOG(1/G53+1,2), SQRT(1/G53), 9/(10-1/G53), (9+($B$5-1)/G53)/(9+$B$5-1/G53),  (1/G53)^2, 2^(1/G53-1),(1/G53)^(1+LN($B$5-1)/LN(9)))^-1),0)</f>
        <v>0</v>
      </c>
      <c r="H41" s="91">
        <f t="shared" si="13"/>
        <v>0</v>
      </c>
      <c r="I41" s="91">
        <f t="shared" si="13"/>
        <v>0</v>
      </c>
      <c r="J41" s="91">
        <f t="shared" si="13"/>
        <v>0</v>
      </c>
      <c r="K41" s="91">
        <f t="shared" si="13"/>
        <v>0</v>
      </c>
      <c r="L41" s="91">
        <f t="shared" si="13"/>
        <v>0</v>
      </c>
      <c r="M41" s="6"/>
      <c r="N41" s="6"/>
      <c r="O41" s="92">
        <f ca="1"/>
        <v>2.8277088936873212E-11</v>
      </c>
      <c r="P41" s="92"/>
      <c r="Q41" s="6"/>
      <c r="R41" s="6"/>
      <c r="T41" s="84"/>
      <c r="U41" s="84"/>
      <c r="V41" s="84"/>
      <c r="W41" s="84">
        <f t="shared" ref="W41:AB41" ca="1" si="14">IF(OR($B41&gt;$B$5,W$37&gt;$B$5),0,(LN(OFFSET($B$37,$B41,W$37))-LN(OFFSET($O$37,$B41,0)/OFFSET($O$37,W$37,0)))^2)</f>
        <v>0</v>
      </c>
      <c r="X41" s="84">
        <f t="shared" ca="1" si="14"/>
        <v>0</v>
      </c>
      <c r="Y41" s="84">
        <f t="shared" ca="1" si="14"/>
        <v>0</v>
      </c>
      <c r="Z41" s="84">
        <f t="shared" ca="1" si="14"/>
        <v>0</v>
      </c>
      <c r="AA41" s="84">
        <f t="shared" ca="1" si="14"/>
        <v>0</v>
      </c>
      <c r="AB41" s="93">
        <f t="shared" ca="1" si="14"/>
        <v>0</v>
      </c>
      <c r="AC41" s="84">
        <f t="shared" ca="1" si="5"/>
        <v>0</v>
      </c>
      <c r="AH41" s="72"/>
      <c r="AI41" s="72"/>
      <c r="AJ41" s="72"/>
      <c r="AK41" s="72"/>
      <c r="AL41" s="72"/>
      <c r="AM41" s="94"/>
      <c r="AN41" s="72"/>
    </row>
    <row r="42" spans="1:40" ht="20.149999999999999" customHeight="1" x14ac:dyDescent="0.25">
      <c r="A42" s="88">
        <v>0</v>
      </c>
      <c r="B42" s="89">
        <v>5</v>
      </c>
      <c r="C42" s="95">
        <f t="shared" si="6"/>
        <v>0</v>
      </c>
      <c r="D42" s="95">
        <f t="shared" si="9"/>
        <v>0</v>
      </c>
      <c r="E42" s="95">
        <f t="shared" si="12"/>
        <v>0</v>
      </c>
      <c r="F42" s="95">
        <f t="shared" ref="F42:F47" si="15">IF(INDEX($C$38:$L$47,F$37,$B42)&lt;&gt;0,1/INDEX($C$38:$L$47,F$37,$B42),0)</f>
        <v>0</v>
      </c>
      <c r="G42" s="90">
        <v>1</v>
      </c>
      <c r="H42" s="91">
        <f>IF(H54&lt;&gt;0,IF(H54&gt;=1, CHOOSE( $K$5, H54, LOG(H54+1,2), SQRT(H54), 9/(10-H54), (9+($B$5-1)*H54)/(9+$B$5-H54),  H54^2, 2^(H54-1),H54^(1+LN($B$5-1)/LN(9))), CHOOSE( $K$5, 1/H54, LOG(1/H54+1,2), SQRT(1/H54), 9/(10-1/H54), (9+($B$5-1)/H54)/(9+$B$5-1/H54),  (1/H54)^2, 2^(1/H54-1),(1/H54)^(1+LN($B$5-1)/LN(9)))^-1),0)</f>
        <v>0</v>
      </c>
      <c r="I42" s="91">
        <f>IF(I54&lt;&gt;0,IF(I54&gt;=1, CHOOSE( $K$5, I54, LOG(I54+1,2), SQRT(I54), 9/(10-I54), (9+($B$5-1)*I54)/(9+$B$5-I54),  I54^2, 2^(I54-1),I54^(1+LN($B$5-1)/LN(9))), CHOOSE( $K$5, 1/I54, LOG(1/I54+1,2), SQRT(1/I54), 9/(10-1/I54), (9+($B$5-1)/I54)/(9+$B$5-1/I54),  (1/I54)^2, 2^(1/I54-1),(1/I54)^(1+LN($B$5-1)/LN(9)))^-1),0)</f>
        <v>0</v>
      </c>
      <c r="J42" s="91">
        <f>IF(J54&lt;&gt;0,IF(J54&gt;=1, CHOOSE( $K$5, J54, LOG(J54+1,2), SQRT(J54), 9/(10-J54), (9+($B$5-1)*J54)/(9+$B$5-J54),  J54^2, 2^(J54-1),J54^(1+LN($B$5-1)/LN(9))), CHOOSE( $K$5, 1/J54, LOG(1/J54+1,2), SQRT(1/J54), 9/(10-1/J54), (9+($B$5-1)/J54)/(9+$B$5-1/J54),  (1/J54)^2, 2^(1/J54-1),(1/J54)^(1+LN($B$5-1)/LN(9)))^-1),0)</f>
        <v>0</v>
      </c>
      <c r="K42" s="91">
        <f>IF(K54&lt;&gt;0,IF(K54&gt;=1, CHOOSE( $K$5, K54, LOG(K54+1,2), SQRT(K54), 9/(10-K54), (9+($B$5-1)*K54)/(9+$B$5-K54),  K54^2, 2^(K54-1),K54^(1+LN($B$5-1)/LN(9))), CHOOSE( $K$5, 1/K54, LOG(1/K54+1,2), SQRT(1/K54), 9/(10-1/K54), (9+($B$5-1)/K54)/(9+$B$5-1/K54),  (1/K54)^2, 2^(1/K54-1),(1/K54)^(1+LN($B$5-1)/LN(9)))^-1),0)</f>
        <v>0</v>
      </c>
      <c r="L42" s="91">
        <f>IF(L54&lt;&gt;0,IF(L54&gt;=1, CHOOSE( $K$5, L54, LOG(L54+1,2), SQRT(L54), 9/(10-L54), (9+($B$5-1)*L54)/(9+$B$5-L54),  L54^2, 2^(L54-1),L54^(1+LN($B$5-1)/LN(9))), CHOOSE( $K$5, 1/L54, LOG(1/L54+1,2), SQRT(1/L54), 9/(10-1/L54), (9+($B$5-1)/L54)/(9+$B$5-1/L54),  (1/L54)^2, 2^(1/L54-1),(1/L54)^(1+LN($B$5-1)/LN(9)))^-1),0)</f>
        <v>0</v>
      </c>
      <c r="M42" s="6"/>
      <c r="N42" s="6"/>
      <c r="O42" s="92">
        <f ca="1"/>
        <v>2.8277088936873212E-11</v>
      </c>
      <c r="P42" s="92"/>
      <c r="Q42" s="6"/>
      <c r="R42" s="6"/>
      <c r="T42" s="84"/>
      <c r="U42" s="84"/>
      <c r="V42" s="84"/>
      <c r="W42" s="84"/>
      <c r="X42" s="84">
        <f ca="1">IF(OR($B42&gt;$B$5,X$37&gt;$B$5),0,(LN(OFFSET($B$37,$B42,X$37))-LN(OFFSET($O$37,$B42,0)/OFFSET($O$37,X$37,0)))^2)</f>
        <v>0</v>
      </c>
      <c r="Y42" s="84">
        <f ca="1">IF(OR($B42&gt;$B$5,Y$37&gt;$B$5),0,(LN(OFFSET($B$37,$B42,Y$37))-LN(OFFSET($O$37,$B42,0)/OFFSET($O$37,Y$37,0)))^2)</f>
        <v>0</v>
      </c>
      <c r="Z42" s="84">
        <f ca="1">IF(OR($B42&gt;$B$5,Z$37&gt;$B$5),0,(LN(OFFSET($B$37,$B42,Z$37))-LN(OFFSET($O$37,$B42,0)/OFFSET($O$37,Z$37,0)))^2)</f>
        <v>0</v>
      </c>
      <c r="AA42" s="84">
        <f ca="1">IF(OR($B42&gt;$B$5,AA$37&gt;$B$5),0,(LN(OFFSET($B$37,$B42,AA$37))-LN(OFFSET($O$37,$B42,0)/OFFSET($O$37,AA$37,0)))^2)</f>
        <v>0</v>
      </c>
      <c r="AB42" s="93">
        <f ca="1">IF(OR($B42&gt;$B$5,AB$37&gt;$B$5),0,(LN(OFFSET($B$37,$B42,AB$37))-LN(OFFSET($O$37,$B42,0)/OFFSET($O$37,AB$37,0)))^2)</f>
        <v>0</v>
      </c>
      <c r="AC42" s="84">
        <f t="shared" ca="1" si="5"/>
        <v>0</v>
      </c>
      <c r="AH42" s="72"/>
      <c r="AI42" s="72"/>
      <c r="AJ42" s="72"/>
      <c r="AK42" s="72"/>
      <c r="AL42" s="72"/>
      <c r="AM42" s="94"/>
      <c r="AN42" s="72"/>
    </row>
    <row r="43" spans="1:40" ht="20.149999999999999" customHeight="1" x14ac:dyDescent="0.25">
      <c r="A43" s="88">
        <v>0</v>
      </c>
      <c r="B43" s="89">
        <v>6</v>
      </c>
      <c r="C43" s="95">
        <f t="shared" si="6"/>
        <v>0</v>
      </c>
      <c r="D43" s="95">
        <f t="shared" si="9"/>
        <v>0</v>
      </c>
      <c r="E43" s="95">
        <f t="shared" si="12"/>
        <v>0</v>
      </c>
      <c r="F43" s="95">
        <f t="shared" si="15"/>
        <v>0</v>
      </c>
      <c r="G43" s="95">
        <f>IF(INDEX($C$38:$L$47,G$37,$B43)&lt;&gt;0,1/INDEX($C$38:$L$47,G$37,$B43),0)</f>
        <v>0</v>
      </c>
      <c r="H43" s="90">
        <v>1</v>
      </c>
      <c r="I43" s="91">
        <f>IF(I55&lt;&gt;0,IF(I55&gt;=1, CHOOSE( $K$5, I55, LOG(I55+1,2), SQRT(I55), 9/(10-I55), (9+($B$5-1)*I55)/(9+$B$5-I55),  I55^2, 2^(I55-1),I55^(1+LN($B$5-1)/LN(9))), CHOOSE( $K$5, 1/I55, LOG(1/I55+1,2), SQRT(1/I55), 9/(10-1/I55), (9+($B$5-1)/I55)/(9+$B$5-1/I55),  (1/I55)^2, 2^(1/I55-1),(1/I55)^(1+LN($B$5-1)/LN(9)))^-1),0)</f>
        <v>0</v>
      </c>
      <c r="J43" s="91">
        <f>IF(J55&lt;&gt;0,IF(J55&gt;=1, CHOOSE( $K$5, J55, LOG(J55+1,2), SQRT(J55), 9/(10-J55), (9+($B$5-1)*J55)/(9+$B$5-J55),  J55^2, 2^(J55-1),J55^(1+LN($B$5-1)/LN(9))), CHOOSE( $K$5, 1/J55, LOG(1/J55+1,2), SQRT(1/J55), 9/(10-1/J55), (9+($B$5-1)/J55)/(9+$B$5-1/J55),  (1/J55)^2, 2^(1/J55-1),(1/J55)^(1+LN($B$5-1)/LN(9)))^-1),0)</f>
        <v>0</v>
      </c>
      <c r="K43" s="91">
        <f>IF(K55&lt;&gt;0,IF(K55&gt;=1, CHOOSE( $K$5, K55, LOG(K55+1,2), SQRT(K55), 9/(10-K55), (9+($B$5-1)*K55)/(9+$B$5-K55),  K55^2, 2^(K55-1),K55^(1+LN($B$5-1)/LN(9))), CHOOSE( $K$5, 1/K55, LOG(1/K55+1,2), SQRT(1/K55), 9/(10-1/K55), (9+($B$5-1)/K55)/(9+$B$5-1/K55),  (1/K55)^2, 2^(1/K55-1),(1/K55)^(1+LN($B$5-1)/LN(9)))^-1),0)</f>
        <v>0</v>
      </c>
      <c r="L43" s="91">
        <f>IF(L55&lt;&gt;0,IF(L55&gt;=1, CHOOSE( $K$5, L55, LOG(L55+1,2), SQRT(L55), 9/(10-L55), (9+($B$5-1)*L55)/(9+$B$5-L55),  L55^2, 2^(L55-1),L55^(1+LN($B$5-1)/LN(9))), CHOOSE( $K$5, 1/L55, LOG(1/L55+1,2), SQRT(1/L55), 9/(10-1/L55), (9+($B$5-1)/L55)/(9+$B$5-1/L55),  (1/L55)^2, 2^(1/L55-1),(1/L55)^(1+LN($B$5-1)/LN(9)))^-1),0)</f>
        <v>0</v>
      </c>
      <c r="M43" s="6"/>
      <c r="N43" s="6"/>
      <c r="O43" s="92">
        <f ca="1"/>
        <v>2.8277088936873212E-11</v>
      </c>
      <c r="P43" s="92"/>
      <c r="Q43" s="6"/>
      <c r="R43" s="6"/>
      <c r="T43" s="84"/>
      <c r="U43" s="84"/>
      <c r="V43" s="84"/>
      <c r="W43" s="84"/>
      <c r="X43" s="84"/>
      <c r="Y43" s="84">
        <f ca="1">IF(OR($B43&gt;$B$5,Y$37&gt;$B$5),0,(LN(OFFSET($B$37,$B43,Y$37))-LN(OFFSET($O$37,$B43,0)/OFFSET($O$37,Y$37,0)))^2)</f>
        <v>0</v>
      </c>
      <c r="Z43" s="84">
        <f ca="1">IF(OR($B43&gt;$B$5,Z$37&gt;$B$5),0,(LN(OFFSET($B$37,$B43,Z$37))-LN(OFFSET($O$37,$B43,0)/OFFSET($O$37,Z$37,0)))^2)</f>
        <v>0</v>
      </c>
      <c r="AA43" s="84">
        <f ca="1">IF(OR($B43&gt;$B$5,AA$37&gt;$B$5),0,(LN(OFFSET($B$37,$B43,AA$37))-LN(OFFSET($O$37,$B43,0)/OFFSET($O$37,AA$37,0)))^2)</f>
        <v>0</v>
      </c>
      <c r="AB43" s="93">
        <f ca="1">IF(OR($B43&gt;$B$5,AB$37&gt;$B$5),0,(LN(OFFSET($B$37,$B43,AB$37))-LN(OFFSET($O$37,$B43,0)/OFFSET($O$37,AB$37,0)))^2)</f>
        <v>0</v>
      </c>
      <c r="AC43" s="84">
        <f t="shared" ca="1" si="5"/>
        <v>0</v>
      </c>
    </row>
    <row r="44" spans="1:40" ht="20.149999999999999" customHeight="1" x14ac:dyDescent="0.25">
      <c r="A44" s="88">
        <v>0</v>
      </c>
      <c r="B44" s="66">
        <v>7</v>
      </c>
      <c r="C44" s="95">
        <f t="shared" si="6"/>
        <v>0</v>
      </c>
      <c r="D44" s="95">
        <f t="shared" si="9"/>
        <v>0</v>
      </c>
      <c r="E44" s="95">
        <f t="shared" si="12"/>
        <v>0</v>
      </c>
      <c r="F44" s="95">
        <f t="shared" si="15"/>
        <v>0</v>
      </c>
      <c r="G44" s="95">
        <f>IF(INDEX($C$38:$L$47,G$37,$B44)&lt;&gt;0,1/INDEX($C$38:$L$47,G$37,$B44),0)</f>
        <v>0</v>
      </c>
      <c r="H44" s="95">
        <f>IF(INDEX($C$38:$L$47,H$37,$B44)&lt;&gt;0,1/INDEX($C$38:$L$47,H$37,$B44),0)</f>
        <v>0</v>
      </c>
      <c r="I44" s="90">
        <v>1</v>
      </c>
      <c r="J44" s="91">
        <f>IF(J56&lt;&gt;0,IF(J56&gt;=1, CHOOSE( $K$5, J56, LOG(J56+1,2), SQRT(J56), 9/(10-J56), (9+($B$5-1)*J56)/(9+$B$5-J56),  J56^2, 2^(J56-1),J56^(1+LN($B$5-1)/LN(9))), CHOOSE( $K$5, 1/J56, LOG(1/J56+1,2), SQRT(1/J56), 9/(10-1/J56), (9+($B$5-1)/J56)/(9+$B$5-1/J56),  (1/J56)^2, 2^(1/J56-1),(1/J56)^(1+LN($B$5-1)/LN(9)))^-1),0)</f>
        <v>0</v>
      </c>
      <c r="K44" s="91">
        <f>IF(K56&lt;&gt;0,IF(K56&gt;=1, CHOOSE( $K$5, K56, LOG(K56+1,2), SQRT(K56), 9/(10-K56), (9+($B$5-1)*K56)/(9+$B$5-K56),  K56^2, 2^(K56-1),K56^(1+LN($B$5-1)/LN(9))), CHOOSE( $K$5, 1/K56, LOG(1/K56+1,2), SQRT(1/K56), 9/(10-1/K56), (9+($B$5-1)/K56)/(9+$B$5-1/K56),  (1/K56)^2, 2^(1/K56-1),(1/K56)^(1+LN($B$5-1)/LN(9)))^-1),0)</f>
        <v>0</v>
      </c>
      <c r="L44" s="91">
        <f>IF(L56&lt;&gt;0,IF(L56&gt;=1, CHOOSE( $K$5, L56, LOG(L56+1,2), SQRT(L56), 9/(10-L56), (9+($B$5-1)*L56)/(9+$B$5-L56),  L56^2, 2^(L56-1),L56^(1+LN($B$5-1)/LN(9))), CHOOSE( $K$5, 1/L56, LOG(1/L56+1,2), SQRT(1/L56), 9/(10-1/L56), (9+($B$5-1)/L56)/(9+$B$5-1/L56),  (1/L56)^2, 2^(1/L56-1),(1/L56)^(1+LN($B$5-1)/LN(9)))^-1),0)</f>
        <v>0</v>
      </c>
      <c r="M44" s="6"/>
      <c r="N44" s="6"/>
      <c r="O44" s="92">
        <f ca="1"/>
        <v>2.8277088936873212E-11</v>
      </c>
      <c r="P44" s="92"/>
      <c r="Q44" s="6"/>
      <c r="R44" s="6"/>
      <c r="T44" s="84"/>
      <c r="U44" s="84"/>
      <c r="V44" s="84"/>
      <c r="W44" s="84"/>
      <c r="X44" s="84"/>
      <c r="Y44" s="84"/>
      <c r="Z44" s="84">
        <f ca="1">IF(OR($B44&gt;$B$5,Z$37&gt;$B$5),0,(LN(OFFSET($B$37,$B44,Z$37))-LN(OFFSET($O$37,$B44,0)/OFFSET($O$37,Z$37,0)))^2)</f>
        <v>0</v>
      </c>
      <c r="AA44" s="84">
        <f ca="1">IF(OR($B44&gt;$B$5,AA$37&gt;$B$5),0,(LN(OFFSET($B$37,$B44,AA$37))-LN(OFFSET($O$37,$B44,0)/OFFSET($O$37,AA$37,0)))^2)</f>
        <v>0</v>
      </c>
      <c r="AB44" s="93">
        <f ca="1">IF(OR($B44&gt;$B$5,AB$37&gt;$B$5),0,(LN(OFFSET($B$37,$B44,AB$37))-LN(OFFSET($O$37,$B44,0)/OFFSET($O$37,AB$37,0)))^2)</f>
        <v>0</v>
      </c>
      <c r="AC44" s="84">
        <f t="shared" ca="1" si="5"/>
        <v>0</v>
      </c>
      <c r="AH44" s="72"/>
      <c r="AI44" s="72"/>
      <c r="AJ44" s="72"/>
      <c r="AK44" s="72"/>
      <c r="AL44" s="72"/>
      <c r="AM44" s="72"/>
      <c r="AN44" s="72"/>
    </row>
    <row r="45" spans="1:40" ht="20.149999999999999" customHeight="1" x14ac:dyDescent="0.25">
      <c r="A45" s="88">
        <v>0</v>
      </c>
      <c r="B45" s="66">
        <v>8</v>
      </c>
      <c r="C45" s="95">
        <f t="shared" si="6"/>
        <v>0</v>
      </c>
      <c r="D45" s="95">
        <f t="shared" si="9"/>
        <v>0</v>
      </c>
      <c r="E45" s="95">
        <f t="shared" si="12"/>
        <v>0</v>
      </c>
      <c r="F45" s="95">
        <f t="shared" si="15"/>
        <v>0</v>
      </c>
      <c r="G45" s="95">
        <f>IF(INDEX($C$38:$L$47,G$37,$B45)&lt;&gt;0,1/INDEX($C$38:$L$47,G$37,$B45),0)</f>
        <v>0</v>
      </c>
      <c r="H45" s="95">
        <f>IF(INDEX($C$38:$L$47,H$37,$B45)&lt;&gt;0,1/INDEX($C$38:$L$47,H$37,$B45),0)</f>
        <v>0</v>
      </c>
      <c r="I45" s="95">
        <f>IF(INDEX($C$38:$L$47,I$37,$B45)&lt;&gt;0,1/INDEX($C$38:$L$47,I$37,$B45),0)</f>
        <v>0</v>
      </c>
      <c r="J45" s="90">
        <v>1</v>
      </c>
      <c r="K45" s="91">
        <f>IF(K57&lt;&gt;0,IF(K57&gt;=1, CHOOSE( $K$5, K57, LOG(K57+1,2), SQRT(K57), 9/(10-K57), (9+($B$5-1)*K57)/(9+$B$5-K57),  K57^2, 2^(K57-1),K57^(1+LN($B$5-1)/LN(9))), CHOOSE( $K$5, 1/K57, LOG(1/K57+1,2), SQRT(1/K57), 9/(10-1/K57), (9+($B$5-1)/K57)/(9+$B$5-1/K57),  (1/K57)^2, 2^(1/K57-1),(1/K57)^(1+LN($B$5-1)/LN(9)))^-1),0)</f>
        <v>0</v>
      </c>
      <c r="L45" s="91">
        <f>IF(L57&lt;&gt;0,IF(L57&gt;=1, CHOOSE( $K$5, L57, LOG(L57+1,2), SQRT(L57), 9/(10-L57), (9+($B$5-1)*L57)/(9+$B$5-L57),  L57^2, 2^(L57-1),L57^(1+LN($B$5-1)/LN(9))), CHOOSE( $K$5, 1/L57, LOG(1/L57+1,2), SQRT(1/L57), 9/(10-1/L57), (9+($B$5-1)/L57)/(9+$B$5-1/L57),  (1/L57)^2, 2^(1/L57-1),(1/L57)^(1+LN($B$5-1)/LN(9)))^-1),0)</f>
        <v>0</v>
      </c>
      <c r="M45" s="6"/>
      <c r="N45" s="6"/>
      <c r="O45" s="92">
        <f ca="1"/>
        <v>2.8277088936873212E-11</v>
      </c>
      <c r="P45" s="92"/>
      <c r="Q45" s="6"/>
      <c r="R45" s="6"/>
      <c r="T45" s="84"/>
      <c r="U45" s="84"/>
      <c r="V45" s="84"/>
      <c r="W45" s="84"/>
      <c r="X45" s="84"/>
      <c r="Y45" s="84"/>
      <c r="Z45" s="84"/>
      <c r="AA45" s="84">
        <f ca="1">IF(OR($B45&gt;$B$5,AA$37&gt;$B$5),0,(LN(OFFSET($B$37,$B45,AA$37))-LN(OFFSET($O$37,$B45,0)/OFFSET($O$37,AA$37,0)))^2)</f>
        <v>0</v>
      </c>
      <c r="AB45" s="93">
        <f ca="1">IF(OR($B45&gt;$B$5,AB$37&gt;$B$5),0,(LN(OFFSET($B$37,$B45,AB$37))-LN(OFFSET($O$37,$B45,0)/OFFSET($O$37,AB$37,0)))^2)</f>
        <v>0</v>
      </c>
      <c r="AC45" s="84">
        <f t="shared" ca="1" si="5"/>
        <v>0</v>
      </c>
      <c r="AI45" s="72"/>
      <c r="AJ45" s="72"/>
      <c r="AK45" s="72"/>
      <c r="AL45" s="72"/>
    </row>
    <row r="46" spans="1:40" ht="20.149999999999999" customHeight="1" x14ac:dyDescent="0.25">
      <c r="A46" s="88">
        <v>0</v>
      </c>
      <c r="B46" s="66">
        <v>9</v>
      </c>
      <c r="C46" s="95">
        <f t="shared" si="6"/>
        <v>0</v>
      </c>
      <c r="D46" s="95">
        <f t="shared" si="9"/>
        <v>0</v>
      </c>
      <c r="E46" s="95">
        <f t="shared" si="12"/>
        <v>0</v>
      </c>
      <c r="F46" s="95">
        <f t="shared" si="15"/>
        <v>0</v>
      </c>
      <c r="G46" s="95">
        <f>IF(INDEX($C$38:$L$47,G$37,$B46)&lt;&gt;0,1/INDEX($C$38:$L$47,G$37,$B46),0)</f>
        <v>0</v>
      </c>
      <c r="H46" s="95">
        <f>IF(INDEX($C$38:$L$47,H$37,$B46)&lt;&gt;0,1/INDEX($C$38:$L$47,H$37,$B46),0)</f>
        <v>0</v>
      </c>
      <c r="I46" s="95">
        <f>IF(INDEX($C$38:$L$47,I$37,$B46)&lt;&gt;0,1/INDEX($C$38:$L$47,I$37,$B46),0)</f>
        <v>0</v>
      </c>
      <c r="J46" s="95">
        <f>IF(INDEX($C$38:$L$47,J$37,$B46)&lt;&gt;0,1/INDEX($C$38:$L$47,J$37,$B46),0)</f>
        <v>0</v>
      </c>
      <c r="K46" s="90">
        <v>1</v>
      </c>
      <c r="L46" s="91">
        <f>IF(L58&lt;&gt;0,IF(L58&gt;=1, CHOOSE( $K$5, L58, LOG(L58+1,2), SQRT(L58), 9/(10-L58), (9+($B$5-1)*L58)/(9+$B$5-L58),  L58^2, 2^(L58-1),L58^(1+LN($B$5-1)/LN(9))), CHOOSE( $K$5, 1/L58, LOG(1/L58+1,2), SQRT(1/L58), 9/(10-1/L58), (9+($B$5-1)/L58)/(9+$B$5-1/L58),  (1/L58)^2, 2^(1/L58-1),(1/L58)^(1+LN($B$5-1)/LN(9)))^-1),0)</f>
        <v>0</v>
      </c>
      <c r="M46" s="6"/>
      <c r="N46" s="6"/>
      <c r="O46" s="92">
        <f ca="1"/>
        <v>2.8277088936873212E-11</v>
      </c>
      <c r="P46" s="92"/>
      <c r="Q46" s="6"/>
      <c r="R46" s="6"/>
      <c r="T46" s="84"/>
      <c r="U46" s="84"/>
      <c r="V46" s="84"/>
      <c r="W46" s="84"/>
      <c r="X46" s="84"/>
      <c r="Y46" s="84"/>
      <c r="Z46" s="84"/>
      <c r="AA46" s="84"/>
      <c r="AB46" s="93">
        <f ca="1">IF(OR($B46&gt;$B$5,AB$37&gt;$B$5),0,(LN(OFFSET($B$37,$B46,AB$37))-LN(OFFSET($O$37,$B46,0)/OFFSET($O$37,AB$37,0)))^2)</f>
        <v>0</v>
      </c>
      <c r="AC46" s="84">
        <f t="shared" ca="1" si="5"/>
        <v>0</v>
      </c>
      <c r="AJ46" s="72"/>
      <c r="AK46" s="72"/>
      <c r="AL46" s="72"/>
    </row>
    <row r="47" spans="1:40" ht="20.149999999999999" customHeight="1" x14ac:dyDescent="0.25">
      <c r="A47" s="88">
        <v>0</v>
      </c>
      <c r="B47" s="66">
        <v>10</v>
      </c>
      <c r="C47" s="95">
        <f t="shared" si="6"/>
        <v>0</v>
      </c>
      <c r="D47" s="95">
        <f t="shared" si="9"/>
        <v>0</v>
      </c>
      <c r="E47" s="95">
        <f t="shared" si="12"/>
        <v>0</v>
      </c>
      <c r="F47" s="95">
        <f t="shared" si="15"/>
        <v>0</v>
      </c>
      <c r="G47" s="95">
        <f>IF(INDEX($C$38:$L$47,G$37,$B47)&lt;&gt;0,1/INDEX($C$38:$L$47,G$37,$B47),0)</f>
        <v>0</v>
      </c>
      <c r="H47" s="95">
        <f>IF(INDEX($C$38:$L$47,H$37,$B47)&lt;&gt;0,1/INDEX($C$38:$L$47,H$37,$B47),0)</f>
        <v>0</v>
      </c>
      <c r="I47" s="95">
        <f>IF(INDEX($C$38:$L$47,I$37,$B47)&lt;&gt;0,1/INDEX($C$38:$L$47,I$37,$B47),0)</f>
        <v>0</v>
      </c>
      <c r="J47" s="95">
        <f>IF(INDEX($C$38:$L$47,J$37,$B47)&lt;&gt;0,1/INDEX($C$38:$L$47,J$37,$B47),0)</f>
        <v>0</v>
      </c>
      <c r="K47" s="95">
        <f>IF(INDEX($C$38:$L$47,K$37,$B47)&lt;&gt;0,1/INDEX($C$38:$L$47,K$37,$B47),0)</f>
        <v>0</v>
      </c>
      <c r="L47" s="90">
        <v>1</v>
      </c>
      <c r="M47" s="6"/>
      <c r="N47" s="6"/>
      <c r="O47" s="92">
        <f ca="1"/>
        <v>2.8277088936873212E-11</v>
      </c>
      <c r="P47" s="92"/>
      <c r="Q47" s="6"/>
      <c r="R47" s="6"/>
      <c r="AK47" s="72"/>
      <c r="AL47" s="72"/>
    </row>
    <row r="48" spans="1:40" hidden="1" outlineLevel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T48" s="3" t="s">
        <v>45</v>
      </c>
      <c r="AK48" s="72"/>
      <c r="AL48" s="72"/>
    </row>
    <row r="49" spans="1:38" hidden="1" outlineLevel="1" x14ac:dyDescent="0.25">
      <c r="A49" s="6"/>
      <c r="C49" s="84">
        <v>1</v>
      </c>
      <c r="D49" s="84">
        <v>2</v>
      </c>
      <c r="E49" s="84">
        <v>3</v>
      </c>
      <c r="F49" s="84">
        <v>4</v>
      </c>
      <c r="G49" s="84">
        <v>5</v>
      </c>
      <c r="H49" s="84">
        <v>6</v>
      </c>
      <c r="I49" s="84">
        <v>7</v>
      </c>
      <c r="J49" s="84">
        <v>8</v>
      </c>
      <c r="K49" s="84">
        <v>9</v>
      </c>
      <c r="L49" s="84">
        <v>10</v>
      </c>
      <c r="M49" s="6"/>
      <c r="N49" s="6"/>
      <c r="O49" s="6"/>
      <c r="P49" s="6"/>
      <c r="Q49" s="6"/>
      <c r="R49" s="6"/>
      <c r="S49" s="96" t="s">
        <v>46</v>
      </c>
      <c r="T49" s="96">
        <v>1</v>
      </c>
      <c r="U49" s="96">
        <v>2</v>
      </c>
      <c r="V49" s="96">
        <v>3</v>
      </c>
      <c r="W49" s="96">
        <v>4</v>
      </c>
      <c r="X49" s="96">
        <v>5</v>
      </c>
      <c r="Y49" s="96">
        <v>6</v>
      </c>
      <c r="Z49" s="96">
        <v>7</v>
      </c>
      <c r="AA49" s="96">
        <v>8</v>
      </c>
      <c r="AB49" s="96">
        <v>9</v>
      </c>
      <c r="AC49" s="96">
        <v>10</v>
      </c>
      <c r="AL49" s="72"/>
    </row>
    <row r="50" spans="1:38" ht="20.149999999999999" hidden="1" customHeight="1" outlineLevel="1" x14ac:dyDescent="0.25">
      <c r="A50" s="97" t="s">
        <v>47</v>
      </c>
      <c r="B50" s="89">
        <v>1</v>
      </c>
      <c r="C50" s="90">
        <f t="array" ref="C50:L59">CHOOSE(p_sel+1,m_p0,m_p1,m_p2,m_p3,m_p4,m_p5,m_p6,m_p7,m_p8,m_p9,m_p10,m_p11,m_p12,m_p13,m_p14,m_p15,m_p16,m_p17,m_p18,m_p19,m_p20)</f>
        <v>0</v>
      </c>
      <c r="D50" s="91">
        <f ca="1"/>
        <v>1.7826024579660034</v>
      </c>
      <c r="E50" s="91">
        <f ca="1"/>
        <v>0.83255320740187311</v>
      </c>
      <c r="F50" s="91">
        <v>0</v>
      </c>
      <c r="G50" s="91">
        <v>0</v>
      </c>
      <c r="H50" s="91">
        <v>0</v>
      </c>
      <c r="I50" s="91">
        <v>0</v>
      </c>
      <c r="J50" s="91">
        <v>0</v>
      </c>
      <c r="K50" s="91">
        <v>0</v>
      </c>
      <c r="L50" s="91">
        <v>0</v>
      </c>
      <c r="M50" s="6"/>
      <c r="N50" s="6"/>
      <c r="O50" s="6"/>
      <c r="P50" s="6"/>
      <c r="Q50" s="6"/>
      <c r="R50" s="6"/>
      <c r="S50" s="96">
        <v>1</v>
      </c>
      <c r="T50" s="98">
        <f t="shared" ref="T50:AC59" ca="1" si="16">IF(OR($S50&gt;$B$5,T$49&gt;$B$5),"-",$B$5/$L$30*INDEX($C$38:$L$47,$S50,T$49)*INDEX($O$38:$O$47,T$49,0))</f>
        <v>0.3677157976474616</v>
      </c>
      <c r="U50" s="99">
        <f t="shared" ca="1" si="16"/>
        <v>0.40158828888022668</v>
      </c>
      <c r="V50" s="99">
        <f t="shared" ca="1" si="16"/>
        <v>0.33670032613883494</v>
      </c>
      <c r="W50" s="99" t="str">
        <f t="shared" si="16"/>
        <v>-</v>
      </c>
      <c r="X50" s="99" t="str">
        <f t="shared" si="16"/>
        <v>-</v>
      </c>
      <c r="Y50" s="99" t="str">
        <f t="shared" si="16"/>
        <v>-</v>
      </c>
      <c r="Z50" s="99" t="str">
        <f t="shared" si="16"/>
        <v>-</v>
      </c>
      <c r="AA50" s="99" t="str">
        <f t="shared" si="16"/>
        <v>-</v>
      </c>
      <c r="AB50" s="99" t="str">
        <f t="shared" si="16"/>
        <v>-</v>
      </c>
      <c r="AC50" s="99" t="str">
        <f t="shared" si="16"/>
        <v>-</v>
      </c>
      <c r="AD50" s="100"/>
      <c r="AE50" s="101"/>
      <c r="AL50" s="72"/>
    </row>
    <row r="51" spans="1:38" ht="20.149999999999999" hidden="1" customHeight="1" outlineLevel="1" x14ac:dyDescent="0.25">
      <c r="A51" s="6"/>
      <c r="B51" s="89">
        <v>2</v>
      </c>
      <c r="C51" s="95">
        <f ca="1"/>
        <v>0.56097757272309978</v>
      </c>
      <c r="D51" s="90">
        <v>0</v>
      </c>
      <c r="E51" s="91">
        <f ca="1"/>
        <v>0.60836434189320576</v>
      </c>
      <c r="F51" s="91">
        <v>0</v>
      </c>
      <c r="G51" s="91">
        <v>0</v>
      </c>
      <c r="H51" s="91">
        <v>0</v>
      </c>
      <c r="I51" s="91">
        <v>0</v>
      </c>
      <c r="J51" s="91">
        <v>0</v>
      </c>
      <c r="K51" s="91">
        <v>0</v>
      </c>
      <c r="L51" s="91">
        <v>0</v>
      </c>
      <c r="M51" s="6"/>
      <c r="N51" s="6"/>
      <c r="O51" s="6"/>
      <c r="P51" s="6"/>
      <c r="Q51" s="6"/>
      <c r="R51" s="6"/>
      <c r="S51" s="96">
        <v>2</v>
      </c>
      <c r="T51" s="102">
        <f t="shared" ca="1" si="16"/>
        <v>0.20628031561621155</v>
      </c>
      <c r="U51" s="98">
        <f t="shared" ca="1" si="16"/>
        <v>0.22528202353005256</v>
      </c>
      <c r="V51" s="99">
        <f t="shared" ca="1" si="16"/>
        <v>0.24603409188213671</v>
      </c>
      <c r="W51" s="99" t="str">
        <f t="shared" si="16"/>
        <v>-</v>
      </c>
      <c r="X51" s="99" t="str">
        <f t="shared" si="16"/>
        <v>-</v>
      </c>
      <c r="Y51" s="99" t="str">
        <f t="shared" si="16"/>
        <v>-</v>
      </c>
      <c r="Z51" s="99" t="str">
        <f t="shared" si="16"/>
        <v>-</v>
      </c>
      <c r="AA51" s="99" t="str">
        <f t="shared" si="16"/>
        <v>-</v>
      </c>
      <c r="AB51" s="99" t="str">
        <f t="shared" si="16"/>
        <v>-</v>
      </c>
      <c r="AC51" s="99" t="str">
        <f t="shared" si="16"/>
        <v>-</v>
      </c>
      <c r="AL51" s="72"/>
    </row>
    <row r="52" spans="1:38" ht="20.149999999999999" hidden="1" customHeight="1" outlineLevel="1" x14ac:dyDescent="0.25">
      <c r="A52" s="6"/>
      <c r="B52" s="89">
        <v>3</v>
      </c>
      <c r="C52" s="95">
        <f ca="1"/>
        <v>1.2011244339814313</v>
      </c>
      <c r="D52" s="95">
        <f ca="1"/>
        <v>1.6437518295172258</v>
      </c>
      <c r="E52" s="90">
        <v>0</v>
      </c>
      <c r="F52" s="91">
        <v>0</v>
      </c>
      <c r="G52" s="91">
        <v>0</v>
      </c>
      <c r="H52" s="91">
        <v>0</v>
      </c>
      <c r="I52" s="91">
        <v>0</v>
      </c>
      <c r="J52" s="91">
        <v>0</v>
      </c>
      <c r="K52" s="91">
        <v>0</v>
      </c>
      <c r="L52" s="91">
        <v>0</v>
      </c>
      <c r="M52" s="6"/>
      <c r="N52" s="6"/>
      <c r="O52" s="6"/>
      <c r="P52" s="6"/>
      <c r="Q52" s="6"/>
      <c r="R52" s="6"/>
      <c r="S52" s="96">
        <v>3</v>
      </c>
      <c r="T52" s="102">
        <f t="shared" ca="1" si="16"/>
        <v>0.44167242931533784</v>
      </c>
      <c r="U52" s="102">
        <f t="shared" ca="1" si="16"/>
        <v>0.37030773833486658</v>
      </c>
      <c r="V52" s="98">
        <f t="shared" ca="1" si="16"/>
        <v>0.40441898865487141</v>
      </c>
      <c r="W52" s="99" t="str">
        <f t="shared" si="16"/>
        <v>-</v>
      </c>
      <c r="X52" s="99" t="str">
        <f t="shared" si="16"/>
        <v>-</v>
      </c>
      <c r="Y52" s="99" t="str">
        <f t="shared" si="16"/>
        <v>-</v>
      </c>
      <c r="Z52" s="99" t="str">
        <f t="shared" si="16"/>
        <v>-</v>
      </c>
      <c r="AA52" s="99" t="str">
        <f t="shared" si="16"/>
        <v>-</v>
      </c>
      <c r="AB52" s="99" t="str">
        <f t="shared" si="16"/>
        <v>-</v>
      </c>
      <c r="AC52" s="99" t="str">
        <f t="shared" si="16"/>
        <v>-</v>
      </c>
      <c r="AL52" s="72"/>
    </row>
    <row r="53" spans="1:38" ht="20.149999999999999" hidden="1" customHeight="1" outlineLevel="1" x14ac:dyDescent="0.25">
      <c r="A53" s="6"/>
      <c r="B53" s="89">
        <v>4</v>
      </c>
      <c r="C53" s="95">
        <v>0</v>
      </c>
      <c r="D53" s="95">
        <v>0</v>
      </c>
      <c r="E53" s="95">
        <v>0</v>
      </c>
      <c r="F53" s="90">
        <v>0</v>
      </c>
      <c r="G53" s="91">
        <v>0</v>
      </c>
      <c r="H53" s="91">
        <v>0</v>
      </c>
      <c r="I53" s="91">
        <v>0</v>
      </c>
      <c r="J53" s="91">
        <v>0</v>
      </c>
      <c r="K53" s="91">
        <v>0</v>
      </c>
      <c r="L53" s="91">
        <v>0</v>
      </c>
      <c r="M53" s="6"/>
      <c r="N53" s="6"/>
      <c r="O53" s="6"/>
      <c r="P53" s="6"/>
      <c r="Q53" s="6"/>
      <c r="R53" s="6"/>
      <c r="S53" s="96">
        <v>4</v>
      </c>
      <c r="T53" s="102" t="str">
        <f t="shared" si="16"/>
        <v>-</v>
      </c>
      <c r="U53" s="102" t="str">
        <f t="shared" si="16"/>
        <v>-</v>
      </c>
      <c r="V53" s="102" t="str">
        <f t="shared" si="16"/>
        <v>-</v>
      </c>
      <c r="W53" s="98" t="str">
        <f t="shared" si="16"/>
        <v>-</v>
      </c>
      <c r="X53" s="99" t="str">
        <f t="shared" si="16"/>
        <v>-</v>
      </c>
      <c r="Y53" s="99" t="str">
        <f t="shared" si="16"/>
        <v>-</v>
      </c>
      <c r="Z53" s="99" t="str">
        <f t="shared" si="16"/>
        <v>-</v>
      </c>
      <c r="AA53" s="99" t="str">
        <f t="shared" si="16"/>
        <v>-</v>
      </c>
      <c r="AB53" s="99" t="str">
        <f t="shared" si="16"/>
        <v>-</v>
      </c>
      <c r="AC53" s="99" t="str">
        <f t="shared" si="16"/>
        <v>-</v>
      </c>
      <c r="AD53" s="3"/>
      <c r="AL53" s="72"/>
    </row>
    <row r="54" spans="1:38" ht="20.149999999999999" hidden="1" customHeight="1" outlineLevel="1" x14ac:dyDescent="0.25">
      <c r="A54" s="6"/>
      <c r="B54" s="89">
        <v>5</v>
      </c>
      <c r="C54" s="95">
        <v>0</v>
      </c>
      <c r="D54" s="95">
        <v>0</v>
      </c>
      <c r="E54" s="95">
        <v>0</v>
      </c>
      <c r="F54" s="95">
        <v>0</v>
      </c>
      <c r="G54" s="90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6"/>
      <c r="N54" s="6"/>
      <c r="O54" s="6"/>
      <c r="P54" s="6"/>
      <c r="Q54" s="6"/>
      <c r="R54" s="6"/>
      <c r="S54" s="96">
        <v>5</v>
      </c>
      <c r="T54" s="102" t="str">
        <f t="shared" si="16"/>
        <v>-</v>
      </c>
      <c r="U54" s="102" t="str">
        <f t="shared" si="16"/>
        <v>-</v>
      </c>
      <c r="V54" s="102" t="str">
        <f t="shared" si="16"/>
        <v>-</v>
      </c>
      <c r="W54" s="102" t="str">
        <f t="shared" si="16"/>
        <v>-</v>
      </c>
      <c r="X54" s="98" t="str">
        <f t="shared" si="16"/>
        <v>-</v>
      </c>
      <c r="Y54" s="99" t="str">
        <f t="shared" si="16"/>
        <v>-</v>
      </c>
      <c r="Z54" s="99" t="str">
        <f t="shared" si="16"/>
        <v>-</v>
      </c>
      <c r="AA54" s="99" t="str">
        <f t="shared" si="16"/>
        <v>-</v>
      </c>
      <c r="AB54" s="99" t="str">
        <f t="shared" si="16"/>
        <v>-</v>
      </c>
      <c r="AC54" s="99" t="str">
        <f t="shared" si="16"/>
        <v>-</v>
      </c>
      <c r="AL54" s="72"/>
    </row>
    <row r="55" spans="1:38" ht="20.149999999999999" hidden="1" customHeight="1" outlineLevel="1" x14ac:dyDescent="0.25">
      <c r="A55" s="6"/>
      <c r="B55" s="89">
        <v>6</v>
      </c>
      <c r="C55" s="95">
        <v>0</v>
      </c>
      <c r="D55" s="95">
        <v>0</v>
      </c>
      <c r="E55" s="95">
        <v>0</v>
      </c>
      <c r="F55" s="95">
        <v>0</v>
      </c>
      <c r="G55" s="95">
        <v>0</v>
      </c>
      <c r="H55" s="90">
        <v>0</v>
      </c>
      <c r="I55" s="91">
        <v>0</v>
      </c>
      <c r="J55" s="91">
        <v>0</v>
      </c>
      <c r="K55" s="91">
        <v>0</v>
      </c>
      <c r="L55" s="91">
        <v>0</v>
      </c>
      <c r="M55" s="6"/>
      <c r="N55" s="6"/>
      <c r="O55" s="6"/>
      <c r="P55" s="6"/>
      <c r="Q55" s="6"/>
      <c r="R55" s="6"/>
      <c r="S55" s="96">
        <v>6</v>
      </c>
      <c r="T55" s="102" t="str">
        <f t="shared" si="16"/>
        <v>-</v>
      </c>
      <c r="U55" s="102" t="str">
        <f t="shared" si="16"/>
        <v>-</v>
      </c>
      <c r="V55" s="102" t="str">
        <f t="shared" si="16"/>
        <v>-</v>
      </c>
      <c r="W55" s="102" t="str">
        <f t="shared" si="16"/>
        <v>-</v>
      </c>
      <c r="X55" s="102" t="str">
        <f t="shared" si="16"/>
        <v>-</v>
      </c>
      <c r="Y55" s="98" t="str">
        <f t="shared" si="16"/>
        <v>-</v>
      </c>
      <c r="Z55" s="99" t="str">
        <f t="shared" si="16"/>
        <v>-</v>
      </c>
      <c r="AA55" s="99" t="str">
        <f t="shared" si="16"/>
        <v>-</v>
      </c>
      <c r="AB55" s="99" t="str">
        <f t="shared" si="16"/>
        <v>-</v>
      </c>
      <c r="AC55" s="99" t="str">
        <f t="shared" si="16"/>
        <v>-</v>
      </c>
      <c r="AD55" s="103"/>
      <c r="AE55" s="104"/>
      <c r="AL55" s="72"/>
    </row>
    <row r="56" spans="1:38" ht="20.149999999999999" hidden="1" customHeight="1" outlineLevel="1" x14ac:dyDescent="0.25">
      <c r="A56" s="6"/>
      <c r="B56" s="66">
        <v>7</v>
      </c>
      <c r="C56" s="95">
        <v>0</v>
      </c>
      <c r="D56" s="95">
        <v>0</v>
      </c>
      <c r="E56" s="95">
        <v>0</v>
      </c>
      <c r="F56" s="95">
        <v>0</v>
      </c>
      <c r="G56" s="95">
        <v>0</v>
      </c>
      <c r="H56" s="95">
        <v>0</v>
      </c>
      <c r="I56" s="90">
        <v>0</v>
      </c>
      <c r="J56" s="91">
        <v>0</v>
      </c>
      <c r="K56" s="91">
        <v>0</v>
      </c>
      <c r="L56" s="91">
        <v>0</v>
      </c>
      <c r="M56" s="6"/>
      <c r="N56" s="6"/>
      <c r="O56" s="6"/>
      <c r="P56" s="6"/>
      <c r="Q56" s="6"/>
      <c r="R56" s="6"/>
      <c r="S56" s="96">
        <v>7</v>
      </c>
      <c r="T56" s="102" t="str">
        <f t="shared" si="16"/>
        <v>-</v>
      </c>
      <c r="U56" s="102" t="str">
        <f t="shared" si="16"/>
        <v>-</v>
      </c>
      <c r="V56" s="102" t="str">
        <f t="shared" si="16"/>
        <v>-</v>
      </c>
      <c r="W56" s="102" t="str">
        <f t="shared" si="16"/>
        <v>-</v>
      </c>
      <c r="X56" s="102" t="str">
        <f t="shared" si="16"/>
        <v>-</v>
      </c>
      <c r="Y56" s="102" t="str">
        <f t="shared" si="16"/>
        <v>-</v>
      </c>
      <c r="Z56" s="98" t="str">
        <f t="shared" si="16"/>
        <v>-</v>
      </c>
      <c r="AA56" s="99" t="str">
        <f t="shared" si="16"/>
        <v>-</v>
      </c>
      <c r="AB56" s="99" t="str">
        <f t="shared" si="16"/>
        <v>-</v>
      </c>
      <c r="AC56" s="99" t="str">
        <f t="shared" si="16"/>
        <v>-</v>
      </c>
      <c r="AL56" s="72"/>
    </row>
    <row r="57" spans="1:38" ht="20.149999999999999" hidden="1" customHeight="1" outlineLevel="1" x14ac:dyDescent="0.25">
      <c r="A57" s="6"/>
      <c r="B57" s="66">
        <v>8</v>
      </c>
      <c r="C57" s="95">
        <v>0</v>
      </c>
      <c r="D57" s="95">
        <v>0</v>
      </c>
      <c r="E57" s="95">
        <v>0</v>
      </c>
      <c r="F57" s="95">
        <v>0</v>
      </c>
      <c r="G57" s="95">
        <v>0</v>
      </c>
      <c r="H57" s="95">
        <v>0</v>
      </c>
      <c r="I57" s="95">
        <v>0</v>
      </c>
      <c r="J57" s="90">
        <v>0</v>
      </c>
      <c r="K57" s="91">
        <v>0</v>
      </c>
      <c r="L57" s="91">
        <v>0</v>
      </c>
      <c r="M57" s="6"/>
      <c r="N57" s="6"/>
      <c r="O57" s="6"/>
      <c r="P57" s="6"/>
      <c r="Q57" s="6"/>
      <c r="R57" s="6"/>
      <c r="S57" s="96">
        <v>8</v>
      </c>
      <c r="T57" s="102" t="str">
        <f t="shared" si="16"/>
        <v>-</v>
      </c>
      <c r="U57" s="102" t="str">
        <f t="shared" si="16"/>
        <v>-</v>
      </c>
      <c r="V57" s="102" t="str">
        <f t="shared" si="16"/>
        <v>-</v>
      </c>
      <c r="W57" s="102" t="str">
        <f t="shared" si="16"/>
        <v>-</v>
      </c>
      <c r="X57" s="102" t="str">
        <f t="shared" si="16"/>
        <v>-</v>
      </c>
      <c r="Y57" s="102" t="str">
        <f t="shared" si="16"/>
        <v>-</v>
      </c>
      <c r="Z57" s="102" t="str">
        <f t="shared" si="16"/>
        <v>-</v>
      </c>
      <c r="AA57" s="98" t="str">
        <f t="shared" si="16"/>
        <v>-</v>
      </c>
      <c r="AB57" s="99" t="str">
        <f t="shared" si="16"/>
        <v>-</v>
      </c>
      <c r="AC57" s="99" t="str">
        <f t="shared" si="16"/>
        <v>-</v>
      </c>
      <c r="AL57" s="72"/>
    </row>
    <row r="58" spans="1:38" ht="20.149999999999999" hidden="1" customHeight="1" outlineLevel="1" x14ac:dyDescent="0.25">
      <c r="A58" s="6"/>
      <c r="B58" s="66">
        <v>9</v>
      </c>
      <c r="C58" s="95">
        <v>0</v>
      </c>
      <c r="D58" s="95">
        <v>0</v>
      </c>
      <c r="E58" s="95">
        <v>0</v>
      </c>
      <c r="F58" s="95">
        <v>0</v>
      </c>
      <c r="G58" s="95">
        <v>0</v>
      </c>
      <c r="H58" s="95">
        <v>0</v>
      </c>
      <c r="I58" s="95">
        <v>0</v>
      </c>
      <c r="J58" s="95">
        <v>0</v>
      </c>
      <c r="K58" s="90">
        <v>0</v>
      </c>
      <c r="L58" s="91">
        <v>0</v>
      </c>
      <c r="M58" s="6"/>
      <c r="N58" s="6"/>
      <c r="O58" s="6"/>
      <c r="P58" s="6"/>
      <c r="Q58" s="6"/>
      <c r="R58" s="6"/>
      <c r="S58" s="96">
        <v>9</v>
      </c>
      <c r="T58" s="102" t="str">
        <f t="shared" si="16"/>
        <v>-</v>
      </c>
      <c r="U58" s="102" t="str">
        <f t="shared" si="16"/>
        <v>-</v>
      </c>
      <c r="V58" s="102" t="str">
        <f t="shared" si="16"/>
        <v>-</v>
      </c>
      <c r="W58" s="102" t="str">
        <f t="shared" si="16"/>
        <v>-</v>
      </c>
      <c r="X58" s="102" t="str">
        <f t="shared" si="16"/>
        <v>-</v>
      </c>
      <c r="Y58" s="102" t="str">
        <f t="shared" si="16"/>
        <v>-</v>
      </c>
      <c r="Z58" s="102" t="str">
        <f t="shared" si="16"/>
        <v>-</v>
      </c>
      <c r="AA58" s="102" t="str">
        <f t="shared" si="16"/>
        <v>-</v>
      </c>
      <c r="AB58" s="98" t="str">
        <f t="shared" si="16"/>
        <v>-</v>
      </c>
      <c r="AC58" s="99" t="str">
        <f t="shared" si="16"/>
        <v>-</v>
      </c>
      <c r="AL58" s="72"/>
    </row>
    <row r="59" spans="1:38" ht="20.149999999999999" hidden="1" customHeight="1" outlineLevel="1" x14ac:dyDescent="0.25">
      <c r="A59" s="6"/>
      <c r="B59" s="66">
        <v>10</v>
      </c>
      <c r="C59" s="95">
        <v>0</v>
      </c>
      <c r="D59" s="95">
        <v>0</v>
      </c>
      <c r="E59" s="95">
        <v>0</v>
      </c>
      <c r="F59" s="95">
        <v>0</v>
      </c>
      <c r="G59" s="95">
        <v>0</v>
      </c>
      <c r="H59" s="95">
        <v>0</v>
      </c>
      <c r="I59" s="95">
        <v>0</v>
      </c>
      <c r="J59" s="95">
        <v>0</v>
      </c>
      <c r="K59" s="95">
        <v>0</v>
      </c>
      <c r="L59" s="90">
        <v>0</v>
      </c>
      <c r="M59" s="6"/>
      <c r="N59" s="6"/>
      <c r="O59" s="6"/>
      <c r="P59" s="6"/>
      <c r="Q59" s="6"/>
      <c r="R59" s="6"/>
      <c r="S59" s="96">
        <v>10</v>
      </c>
      <c r="T59" s="102" t="str">
        <f t="shared" si="16"/>
        <v>-</v>
      </c>
      <c r="U59" s="102" t="str">
        <f t="shared" si="16"/>
        <v>-</v>
      </c>
      <c r="V59" s="102" t="str">
        <f t="shared" si="16"/>
        <v>-</v>
      </c>
      <c r="W59" s="102" t="str">
        <f t="shared" si="16"/>
        <v>-</v>
      </c>
      <c r="X59" s="102" t="str">
        <f t="shared" si="16"/>
        <v>-</v>
      </c>
      <c r="Y59" s="102" t="str">
        <f t="shared" si="16"/>
        <v>-</v>
      </c>
      <c r="Z59" s="102" t="str">
        <f t="shared" si="16"/>
        <v>-</v>
      </c>
      <c r="AA59" s="102" t="str">
        <f t="shared" si="16"/>
        <v>-</v>
      </c>
      <c r="AB59" s="102" t="str">
        <f t="shared" si="16"/>
        <v>-</v>
      </c>
      <c r="AC59" s="98" t="str">
        <f t="shared" si="16"/>
        <v>-</v>
      </c>
      <c r="AL59" s="72"/>
    </row>
    <row r="60" spans="1:38" hidden="1" outlineLevel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L60" s="72"/>
    </row>
    <row r="61" spans="1:38" hidden="1" outlineLevel="1" x14ac:dyDescent="0.25">
      <c r="T61" s="3" t="s">
        <v>48</v>
      </c>
      <c r="AE61" s="3"/>
      <c r="AL61" s="72"/>
    </row>
    <row r="62" spans="1:38" ht="13" hidden="1" outlineLevel="1" x14ac:dyDescent="0.3">
      <c r="A62" s="106" t="s">
        <v>49</v>
      </c>
      <c r="B62" s="107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9"/>
      <c r="P62" s="6"/>
      <c r="T62" s="66">
        <v>1</v>
      </c>
      <c r="U62" s="66">
        <v>2</v>
      </c>
      <c r="V62" s="66">
        <v>3</v>
      </c>
      <c r="W62" s="66">
        <v>4</v>
      </c>
      <c r="X62" s="66">
        <v>5</v>
      </c>
      <c r="Y62" s="66">
        <v>6</v>
      </c>
      <c r="Z62" s="66">
        <v>7</v>
      </c>
      <c r="AA62" s="66">
        <v>8</v>
      </c>
      <c r="AB62" s="66">
        <v>9</v>
      </c>
      <c r="AC62" s="66">
        <v>10</v>
      </c>
      <c r="AE62" s="3"/>
      <c r="AF62" s="3"/>
      <c r="AL62" s="72"/>
    </row>
    <row r="63" spans="1:38" ht="13" hidden="1" customHeight="1" outlineLevel="1" x14ac:dyDescent="0.3">
      <c r="A63" s="110"/>
      <c r="B63" s="6"/>
      <c r="C63" s="30">
        <v>1</v>
      </c>
      <c r="D63" s="30">
        <v>2</v>
      </c>
      <c r="E63" s="30">
        <v>3</v>
      </c>
      <c r="F63" s="30">
        <v>4</v>
      </c>
      <c r="G63" s="30">
        <v>5</v>
      </c>
      <c r="H63" s="30">
        <v>6</v>
      </c>
      <c r="I63" s="30">
        <v>7</v>
      </c>
      <c r="J63" s="30">
        <v>8</v>
      </c>
      <c r="K63" s="30">
        <v>9</v>
      </c>
      <c r="L63" s="30">
        <v>10</v>
      </c>
      <c r="M63" s="111" t="e">
        <f>M105/M84</f>
        <v>#VALUE!</v>
      </c>
      <c r="N63" s="112" t="s">
        <v>50</v>
      </c>
      <c r="O63" s="113"/>
      <c r="P63" s="6"/>
      <c r="Q63" s="114"/>
      <c r="R63" s="114"/>
      <c r="S63" s="66">
        <v>1</v>
      </c>
      <c r="T63" s="90"/>
      <c r="U63" s="91">
        <f t="shared" ref="U63:AC63" ca="1" si="17">IF(OR($S63&gt;$B$5,U$62&gt;$B$5),0, 1/($B$5-2)*(   IF(AND($S63&lt;&gt;1,U$62&lt;&gt;1, $B$5&gt;0),IF(-LN(INDEX(consMat,$S63,U$62))*LN(INDEX(consMat,$S63,1)*INDEX(consMat,1,U$62))&gt;0,1,0),0) +IF(AND($S63&lt;&gt;2,U$62&lt;&gt;2,$B$5&gt;1),IF(-LN(INDEX(consMat,$S63,U$62))*LN(INDEX(consMat,$S63,2)*INDEX(consMat,2,U$62))&gt;0,1,0),0) +IF(AND($S63&lt;&gt;3,U$62&lt;&gt;3,$B$5&gt;2),IF(-LN(INDEX(consMat,$S63,U$62))*LN(INDEX(consMat,$S63,3)*INDEX(consMat,3,U$62))&gt;0,1,0),0) +IF(AND($S63&lt;&gt;4,U$62&lt;&gt;4,$B$5&gt;3),IF(-LN(INDEX(consMat,$S63,U$62))*LN(INDEX(consMat,$S63,4)*INDEX(consMat,4,U$62))&gt;0,1,0),0) +IF(AND($S63&lt;&gt;5,U$62&lt;&gt;5,$B$5&gt;4),IF(-LN(INDEX(consMat,$S63,U$62))*LN(INDEX(consMat,$S63,5)*INDEX(consMat,5,U$62))&gt;0,1,0),0) +IF(AND($S63&lt;&gt;6,U$62&lt;&gt;6,$B$5&gt;5),IF(-LN(INDEX(consMat,$S63,U$62))*LN(INDEX(consMat,$S63,6)*INDEX(consMat,6,U$62))&gt;0,1,0),0) +IF(AND($S63&lt;&gt;7,U$62&lt;&gt;7,$B$5&gt;6),IF(-LN(INDEX(consMat,$S63,U$62))*LN(INDEX(consMat,$S63,7)*INDEX(consMat,7,U$62))&gt;0,1,0),0) +IF(AND($S63&lt;&gt;8,U$62&lt;&gt;8,$B$5&gt;7),IF(-LN(INDEX(consMat,$S63,U$62))*LN(INDEX(consMat,$S63,8)*INDEX(consMat,8,U$62))&gt;0,1,0),0) +IF(AND($S63&lt;&gt;9,U$62&lt;&gt;9,$B$5&gt;8),IF(-LN(INDEX(consMat,$S63,U$62))*LN(INDEX(consMat,$S63,9)*INDEX(consMat,9,U$62))&gt;0,1,0),0) +IF(AND($S63&lt;&gt;10,U$62&lt;&gt;10,$B$5&gt;9),IF(-LN(INDEX(consMat,$S63,U$62))*LN(INDEX(consMat,$S63,10)*INDEX(consMat,10,U$62))&gt;0,1,0))) )</f>
        <v>0</v>
      </c>
      <c r="V63" s="91">
        <f t="shared" ca="1" si="17"/>
        <v>1</v>
      </c>
      <c r="W63" s="91">
        <f t="shared" si="17"/>
        <v>0</v>
      </c>
      <c r="X63" s="91">
        <f t="shared" si="17"/>
        <v>0</v>
      </c>
      <c r="Y63" s="91">
        <f t="shared" si="17"/>
        <v>0</v>
      </c>
      <c r="Z63" s="91">
        <f t="shared" si="17"/>
        <v>0</v>
      </c>
      <c r="AA63" s="91">
        <f t="shared" si="17"/>
        <v>0</v>
      </c>
      <c r="AB63" s="91">
        <f t="shared" si="17"/>
        <v>0</v>
      </c>
      <c r="AC63" s="91">
        <f t="shared" si="17"/>
        <v>0</v>
      </c>
      <c r="AD63" s="115"/>
      <c r="AE63" s="116"/>
      <c r="AL63" s="72"/>
    </row>
    <row r="64" spans="1:38" ht="13" hidden="1" outlineLevel="1" x14ac:dyDescent="0.3">
      <c r="A64" s="117" t="s">
        <v>51</v>
      </c>
      <c r="B64" s="118">
        <v>1</v>
      </c>
      <c r="C64" s="119">
        <f t="array" ref="C64:L64">IF(B64&lt;=$B$7,TRANSPOSE(RGGM1),)</f>
        <v>0.42857142857142844</v>
      </c>
      <c r="D64" s="119">
        <v>0.14285714285714277</v>
      </c>
      <c r="E64" s="119">
        <v>0.42857142857142844</v>
      </c>
      <c r="F64" s="119">
        <v>0</v>
      </c>
      <c r="G64" s="119">
        <v>0</v>
      </c>
      <c r="H64" s="119">
        <v>0</v>
      </c>
      <c r="I64" s="119">
        <v>0</v>
      </c>
      <c r="J64" s="119">
        <v>0</v>
      </c>
      <c r="K64" s="119">
        <v>0</v>
      </c>
      <c r="L64" s="119">
        <v>0</v>
      </c>
      <c r="M64" s="118"/>
      <c r="N64" s="6"/>
      <c r="O64" s="113"/>
      <c r="P64" s="6"/>
      <c r="S64" s="66">
        <v>2</v>
      </c>
      <c r="T64" s="95"/>
      <c r="U64" s="90"/>
      <c r="V64" s="91">
        <f t="shared" ref="V64:AC64" ca="1" si="18">IF(OR($S64&gt;$B$5,V$62&gt;$B$5),0, 1/($B$5-2)*(   IF(AND($S64&lt;&gt;1,V$62&lt;&gt;1, $B$5&gt;0),IF(-LN(INDEX(consMat,$S64,V$62))*LN(INDEX(consMat,$S64,1)*INDEX(consMat,1,V$62))&gt;0,1,0),0) +IF(AND($S64&lt;&gt;2,V$62&lt;&gt;2,$B$5&gt;1),IF(-LN(INDEX(consMat,$S64,V$62))*LN(INDEX(consMat,$S64,2)*INDEX(consMat,2,V$62))&gt;0,1,0),0) +IF(AND($S64&lt;&gt;3,V$62&lt;&gt;3,$B$5&gt;2),IF(-LN(INDEX(consMat,$S64,V$62))*LN(INDEX(consMat,$S64,3)*INDEX(consMat,3,V$62))&gt;0,1,0),0) +IF(AND($S64&lt;&gt;4,V$62&lt;&gt;4,$B$5&gt;3),IF(-LN(INDEX(consMat,$S64,V$62))*LN(INDEX(consMat,$S64,4)*INDEX(consMat,4,V$62))&gt;0,1,0),0) +IF(AND($S64&lt;&gt;5,V$62&lt;&gt;5,$B$5&gt;4),IF(-LN(INDEX(consMat,$S64,V$62))*LN(INDEX(consMat,$S64,5)*INDEX(consMat,5,V$62))&gt;0,1,0),0) +IF(AND($S64&lt;&gt;6,V$62&lt;&gt;6,$B$5&gt;5),IF(-LN(INDEX(consMat,$S64,V$62))*LN(INDEX(consMat,$S64,6)*INDEX(consMat,6,V$62))&gt;0,1,0),0) +IF(AND($S64&lt;&gt;7,V$62&lt;&gt;7,$B$5&gt;6),IF(-LN(INDEX(consMat,$S64,V$62))*LN(INDEX(consMat,$S64,7)*INDEX(consMat,7,V$62))&gt;0,1,0),0) +IF(AND($S64&lt;&gt;8,V$62&lt;&gt;8,$B$5&gt;7),IF(-LN(INDEX(consMat,$S64,V$62))*LN(INDEX(consMat,$S64,8)*INDEX(consMat,8,V$62))&gt;0,1,0),0) +IF(AND($S64&lt;&gt;9,V$62&lt;&gt;9,$B$5&gt;8),IF(-LN(INDEX(consMat,$S64,V$62))*LN(INDEX(consMat,$S64,9)*INDEX(consMat,9,V$62))&gt;0,1,0),0) +IF(AND($S64&lt;&gt;10,V$62&lt;&gt;10,$B$5&gt;9),IF(-LN(INDEX(consMat,$S64,V$62))*LN(INDEX(consMat,$S64,10)*INDEX(consMat,10,V$62))&gt;0,1,0))) )</f>
        <v>0</v>
      </c>
      <c r="W64" s="91">
        <f t="shared" si="18"/>
        <v>0</v>
      </c>
      <c r="X64" s="91">
        <f t="shared" si="18"/>
        <v>0</v>
      </c>
      <c r="Y64" s="91">
        <f t="shared" si="18"/>
        <v>0</v>
      </c>
      <c r="Z64" s="91">
        <f t="shared" si="18"/>
        <v>0</v>
      </c>
      <c r="AA64" s="91">
        <f t="shared" si="18"/>
        <v>0</v>
      </c>
      <c r="AB64" s="91">
        <f t="shared" si="18"/>
        <v>0</v>
      </c>
      <c r="AC64" s="91">
        <f t="shared" si="18"/>
        <v>0</v>
      </c>
      <c r="AH64" s="120"/>
      <c r="AL64" s="72"/>
    </row>
    <row r="65" spans="1:38" ht="13" hidden="1" customHeight="1" outlineLevel="1" x14ac:dyDescent="0.3">
      <c r="A65" s="117" t="s">
        <v>52</v>
      </c>
      <c r="B65" s="118">
        <v>2</v>
      </c>
      <c r="C65" s="119" t="e">
        <f>IF(B65&lt;=$B$7,TRANSPOSE(RGGM2),)</f>
        <v>#VALUE!</v>
      </c>
      <c r="D65" s="119">
        <v>0</v>
      </c>
      <c r="E65" s="119">
        <v>0</v>
      </c>
      <c r="F65" s="119">
        <v>0</v>
      </c>
      <c r="G65" s="119">
        <v>0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8"/>
      <c r="N65" s="6"/>
      <c r="O65" s="113"/>
      <c r="P65" s="6"/>
      <c r="S65" s="66">
        <v>3</v>
      </c>
      <c r="T65" s="95"/>
      <c r="U65" s="95"/>
      <c r="V65" s="90"/>
      <c r="W65" s="91">
        <f t="shared" ref="W65:AC65" si="19">IF(OR($S65&gt;$B$5,W$62&gt;$B$5),0, 1/($B$5-2)*(   IF(AND($S65&lt;&gt;1,W$62&lt;&gt;1, $B$5&gt;0),IF(-LN(INDEX(consMat,$S65,W$62))*LN(INDEX(consMat,$S65,1)*INDEX(consMat,1,W$62))&gt;0,1,0),0) +IF(AND($S65&lt;&gt;2,W$62&lt;&gt;2,$B$5&gt;1),IF(-LN(INDEX(consMat,$S65,W$62))*LN(INDEX(consMat,$S65,2)*INDEX(consMat,2,W$62))&gt;0,1,0),0) +IF(AND($S65&lt;&gt;3,W$62&lt;&gt;3,$B$5&gt;2),IF(-LN(INDEX(consMat,$S65,W$62))*LN(INDEX(consMat,$S65,3)*INDEX(consMat,3,W$62))&gt;0,1,0),0) +IF(AND($S65&lt;&gt;4,W$62&lt;&gt;4,$B$5&gt;3),IF(-LN(INDEX(consMat,$S65,W$62))*LN(INDEX(consMat,$S65,4)*INDEX(consMat,4,W$62))&gt;0,1,0),0) +IF(AND($S65&lt;&gt;5,W$62&lt;&gt;5,$B$5&gt;4),IF(-LN(INDEX(consMat,$S65,W$62))*LN(INDEX(consMat,$S65,5)*INDEX(consMat,5,W$62))&gt;0,1,0),0) +IF(AND($S65&lt;&gt;6,W$62&lt;&gt;6,$B$5&gt;5),IF(-LN(INDEX(consMat,$S65,W$62))*LN(INDEX(consMat,$S65,6)*INDEX(consMat,6,W$62))&gt;0,1,0),0) +IF(AND($S65&lt;&gt;7,W$62&lt;&gt;7,$B$5&gt;6),IF(-LN(INDEX(consMat,$S65,W$62))*LN(INDEX(consMat,$S65,7)*INDEX(consMat,7,W$62))&gt;0,1,0),0) +IF(AND($S65&lt;&gt;8,W$62&lt;&gt;8,$B$5&gt;7),IF(-LN(INDEX(consMat,$S65,W$62))*LN(INDEX(consMat,$S65,8)*INDEX(consMat,8,W$62))&gt;0,1,0),0) +IF(AND($S65&lt;&gt;9,W$62&lt;&gt;9,$B$5&gt;8),IF(-LN(INDEX(consMat,$S65,W$62))*LN(INDEX(consMat,$S65,9)*INDEX(consMat,9,W$62))&gt;0,1,0),0) +IF(AND($S65&lt;&gt;10,W$62&lt;&gt;10,$B$5&gt;9),IF(-LN(INDEX(consMat,$S65,W$62))*LN(INDEX(consMat,$S65,10)*INDEX(consMat,10,W$62))&gt;0,1,0))) )</f>
        <v>0</v>
      </c>
      <c r="X65" s="91">
        <f t="shared" si="19"/>
        <v>0</v>
      </c>
      <c r="Y65" s="91">
        <f t="shared" si="19"/>
        <v>0</v>
      </c>
      <c r="Z65" s="91">
        <f t="shared" si="19"/>
        <v>0</v>
      </c>
      <c r="AA65" s="91">
        <f t="shared" si="19"/>
        <v>0</v>
      </c>
      <c r="AB65" s="91">
        <f t="shared" si="19"/>
        <v>0</v>
      </c>
      <c r="AC65" s="91">
        <f t="shared" si="19"/>
        <v>0</v>
      </c>
      <c r="AL65" s="72"/>
    </row>
    <row r="66" spans="1:38" hidden="1" outlineLevel="1" x14ac:dyDescent="0.25">
      <c r="A66" s="121"/>
      <c r="B66" s="118">
        <v>3</v>
      </c>
      <c r="C66" s="119" t="e">
        <f>IF(B66&lt;=$B$7,TRANSPOSE(RGGM3),)</f>
        <v>#VALUE!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8"/>
      <c r="N66" s="6"/>
      <c r="O66" s="113"/>
      <c r="P66" s="6"/>
      <c r="S66" s="66">
        <v>4</v>
      </c>
      <c r="T66" s="95"/>
      <c r="U66" s="95"/>
      <c r="V66" s="95"/>
      <c r="W66" s="90"/>
      <c r="X66" s="91">
        <f t="shared" ref="X66:AC66" si="20">IF(OR($S66&gt;$B$5,X$62&gt;$B$5),0, 1/($B$5-2)*(   IF(AND($S66&lt;&gt;1,X$62&lt;&gt;1, $B$5&gt;0),IF(-LN(INDEX(consMat,$S66,X$62))*LN(INDEX(consMat,$S66,1)*INDEX(consMat,1,X$62))&gt;0,1,0),0) +IF(AND($S66&lt;&gt;2,X$62&lt;&gt;2,$B$5&gt;1),IF(-LN(INDEX(consMat,$S66,X$62))*LN(INDEX(consMat,$S66,2)*INDEX(consMat,2,X$62))&gt;0,1,0),0) +IF(AND($S66&lt;&gt;3,X$62&lt;&gt;3,$B$5&gt;2),IF(-LN(INDEX(consMat,$S66,X$62))*LN(INDEX(consMat,$S66,3)*INDEX(consMat,3,X$62))&gt;0,1,0),0) +IF(AND($S66&lt;&gt;4,X$62&lt;&gt;4,$B$5&gt;3),IF(-LN(INDEX(consMat,$S66,X$62))*LN(INDEX(consMat,$S66,4)*INDEX(consMat,4,X$62))&gt;0,1,0),0) +IF(AND($S66&lt;&gt;5,X$62&lt;&gt;5,$B$5&gt;4),IF(-LN(INDEX(consMat,$S66,X$62))*LN(INDEX(consMat,$S66,5)*INDEX(consMat,5,X$62))&gt;0,1,0),0) +IF(AND($S66&lt;&gt;6,X$62&lt;&gt;6,$B$5&gt;5),IF(-LN(INDEX(consMat,$S66,X$62))*LN(INDEX(consMat,$S66,6)*INDEX(consMat,6,X$62))&gt;0,1,0),0) +IF(AND($S66&lt;&gt;7,X$62&lt;&gt;7,$B$5&gt;6),IF(-LN(INDEX(consMat,$S66,X$62))*LN(INDEX(consMat,$S66,7)*INDEX(consMat,7,X$62))&gt;0,1,0),0) +IF(AND($S66&lt;&gt;8,X$62&lt;&gt;8,$B$5&gt;7),IF(-LN(INDEX(consMat,$S66,X$62))*LN(INDEX(consMat,$S66,8)*INDEX(consMat,8,X$62))&gt;0,1,0),0) +IF(AND($S66&lt;&gt;9,X$62&lt;&gt;9,$B$5&gt;8),IF(-LN(INDEX(consMat,$S66,X$62))*LN(INDEX(consMat,$S66,9)*INDEX(consMat,9,X$62))&gt;0,1,0),0) +IF(AND($S66&lt;&gt;10,X$62&lt;&gt;10,$B$5&gt;9),IF(-LN(INDEX(consMat,$S66,X$62))*LN(INDEX(consMat,$S66,10)*INDEX(consMat,10,X$62))&gt;0,1,0))) )</f>
        <v>0</v>
      </c>
      <c r="Y66" s="91">
        <f t="shared" si="20"/>
        <v>0</v>
      </c>
      <c r="Z66" s="91">
        <f t="shared" si="20"/>
        <v>0</v>
      </c>
      <c r="AA66" s="91">
        <f t="shared" si="20"/>
        <v>0</v>
      </c>
      <c r="AB66" s="91">
        <f t="shared" si="20"/>
        <v>0</v>
      </c>
      <c r="AC66" s="91">
        <f t="shared" si="20"/>
        <v>0</v>
      </c>
      <c r="AL66" s="72"/>
    </row>
    <row r="67" spans="1:38" hidden="1" outlineLevel="1" x14ac:dyDescent="0.25">
      <c r="A67" s="121"/>
      <c r="B67" s="118">
        <v>4</v>
      </c>
      <c r="C67" s="119" t="e">
        <f>IF(B67&lt;=$B$7,TRANSPOSE(RGGM4),)</f>
        <v>#VALUE!</v>
      </c>
      <c r="D67" s="119">
        <v>0</v>
      </c>
      <c r="E67" s="119">
        <v>0</v>
      </c>
      <c r="F67" s="119">
        <v>0</v>
      </c>
      <c r="G67" s="119">
        <v>0</v>
      </c>
      <c r="H67" s="119">
        <v>0</v>
      </c>
      <c r="I67" s="119">
        <v>0</v>
      </c>
      <c r="J67" s="119">
        <v>0</v>
      </c>
      <c r="K67" s="119">
        <v>0</v>
      </c>
      <c r="L67" s="119">
        <v>0</v>
      </c>
      <c r="M67" s="118"/>
      <c r="N67" s="6"/>
      <c r="O67" s="113"/>
      <c r="P67" s="6"/>
      <c r="S67" s="66">
        <v>5</v>
      </c>
      <c r="T67" s="95"/>
      <c r="U67" s="95"/>
      <c r="V67" s="95"/>
      <c r="W67" s="95"/>
      <c r="X67" s="90"/>
      <c r="Y67" s="91">
        <f>IF(OR($S67&gt;$B$5,Y$62&gt;$B$5),0, 1/($B$5-2)*(   IF(AND($S67&lt;&gt;1,Y$62&lt;&gt;1, $B$5&gt;0),IF(-LN(INDEX(consMat,$S67,Y$62))*LN(INDEX(consMat,$S67,1)*INDEX(consMat,1,Y$62))&gt;0,1,0),0) +IF(AND($S67&lt;&gt;2,Y$62&lt;&gt;2,$B$5&gt;1),IF(-LN(INDEX(consMat,$S67,Y$62))*LN(INDEX(consMat,$S67,2)*INDEX(consMat,2,Y$62))&gt;0,1,0),0) +IF(AND($S67&lt;&gt;3,Y$62&lt;&gt;3,$B$5&gt;2),IF(-LN(INDEX(consMat,$S67,Y$62))*LN(INDEX(consMat,$S67,3)*INDEX(consMat,3,Y$62))&gt;0,1,0),0) +IF(AND($S67&lt;&gt;4,Y$62&lt;&gt;4,$B$5&gt;3),IF(-LN(INDEX(consMat,$S67,Y$62))*LN(INDEX(consMat,$S67,4)*INDEX(consMat,4,Y$62))&gt;0,1,0),0) +IF(AND($S67&lt;&gt;5,Y$62&lt;&gt;5,$B$5&gt;4),IF(-LN(INDEX(consMat,$S67,Y$62))*LN(INDEX(consMat,$S67,5)*INDEX(consMat,5,Y$62))&gt;0,1,0),0) +IF(AND($S67&lt;&gt;6,Y$62&lt;&gt;6,$B$5&gt;5),IF(-LN(INDEX(consMat,$S67,Y$62))*LN(INDEX(consMat,$S67,6)*INDEX(consMat,6,Y$62))&gt;0,1,0),0) +IF(AND($S67&lt;&gt;7,Y$62&lt;&gt;7,$B$5&gt;6),IF(-LN(INDEX(consMat,$S67,Y$62))*LN(INDEX(consMat,$S67,7)*INDEX(consMat,7,Y$62))&gt;0,1,0),0) +IF(AND($S67&lt;&gt;8,Y$62&lt;&gt;8,$B$5&gt;7),IF(-LN(INDEX(consMat,$S67,Y$62))*LN(INDEX(consMat,$S67,8)*INDEX(consMat,8,Y$62))&gt;0,1,0),0) +IF(AND($S67&lt;&gt;9,Y$62&lt;&gt;9,$B$5&gt;8),IF(-LN(INDEX(consMat,$S67,Y$62))*LN(INDEX(consMat,$S67,9)*INDEX(consMat,9,Y$62))&gt;0,1,0),0) +IF(AND($S67&lt;&gt;10,Y$62&lt;&gt;10,$B$5&gt;9),IF(-LN(INDEX(consMat,$S67,Y$62))*LN(INDEX(consMat,$S67,10)*INDEX(consMat,10,Y$62))&gt;0,1,0))) )</f>
        <v>0</v>
      </c>
      <c r="Z67" s="91">
        <f>IF(OR($S67&gt;$B$5,Z$62&gt;$B$5),0, 1/($B$5-2)*(   IF(AND($S67&lt;&gt;1,Z$62&lt;&gt;1, $B$5&gt;0),IF(-LN(INDEX(consMat,$S67,Z$62))*LN(INDEX(consMat,$S67,1)*INDEX(consMat,1,Z$62))&gt;0,1,0),0) +IF(AND($S67&lt;&gt;2,Z$62&lt;&gt;2,$B$5&gt;1),IF(-LN(INDEX(consMat,$S67,Z$62))*LN(INDEX(consMat,$S67,2)*INDEX(consMat,2,Z$62))&gt;0,1,0),0) +IF(AND($S67&lt;&gt;3,Z$62&lt;&gt;3,$B$5&gt;2),IF(-LN(INDEX(consMat,$S67,Z$62))*LN(INDEX(consMat,$S67,3)*INDEX(consMat,3,Z$62))&gt;0,1,0),0) +IF(AND($S67&lt;&gt;4,Z$62&lt;&gt;4,$B$5&gt;3),IF(-LN(INDEX(consMat,$S67,Z$62))*LN(INDEX(consMat,$S67,4)*INDEX(consMat,4,Z$62))&gt;0,1,0),0) +IF(AND($S67&lt;&gt;5,Z$62&lt;&gt;5,$B$5&gt;4),IF(-LN(INDEX(consMat,$S67,Z$62))*LN(INDEX(consMat,$S67,5)*INDEX(consMat,5,Z$62))&gt;0,1,0),0) +IF(AND($S67&lt;&gt;6,Z$62&lt;&gt;6,$B$5&gt;5),IF(-LN(INDEX(consMat,$S67,Z$62))*LN(INDEX(consMat,$S67,6)*INDEX(consMat,6,Z$62))&gt;0,1,0),0) +IF(AND($S67&lt;&gt;7,Z$62&lt;&gt;7,$B$5&gt;6),IF(-LN(INDEX(consMat,$S67,Z$62))*LN(INDEX(consMat,$S67,7)*INDEX(consMat,7,Z$62))&gt;0,1,0),0) +IF(AND($S67&lt;&gt;8,Z$62&lt;&gt;8,$B$5&gt;7),IF(-LN(INDEX(consMat,$S67,Z$62))*LN(INDEX(consMat,$S67,8)*INDEX(consMat,8,Z$62))&gt;0,1,0),0) +IF(AND($S67&lt;&gt;9,Z$62&lt;&gt;9,$B$5&gt;8),IF(-LN(INDEX(consMat,$S67,Z$62))*LN(INDEX(consMat,$S67,9)*INDEX(consMat,9,Z$62))&gt;0,1,0),0) +IF(AND($S67&lt;&gt;10,Z$62&lt;&gt;10,$B$5&gt;9),IF(-LN(INDEX(consMat,$S67,Z$62))*LN(INDEX(consMat,$S67,10)*INDEX(consMat,10,Z$62))&gt;0,1,0))) )</f>
        <v>0</v>
      </c>
      <c r="AA67" s="91">
        <f>IF(OR($S67&gt;$B$5,AA$62&gt;$B$5),0, 1/($B$5-2)*(   IF(AND($S67&lt;&gt;1,AA$62&lt;&gt;1, $B$5&gt;0),IF(-LN(INDEX(consMat,$S67,AA$62))*LN(INDEX(consMat,$S67,1)*INDEX(consMat,1,AA$62))&gt;0,1,0),0) +IF(AND($S67&lt;&gt;2,AA$62&lt;&gt;2,$B$5&gt;1),IF(-LN(INDEX(consMat,$S67,AA$62))*LN(INDEX(consMat,$S67,2)*INDEX(consMat,2,AA$62))&gt;0,1,0),0) +IF(AND($S67&lt;&gt;3,AA$62&lt;&gt;3,$B$5&gt;2),IF(-LN(INDEX(consMat,$S67,AA$62))*LN(INDEX(consMat,$S67,3)*INDEX(consMat,3,AA$62))&gt;0,1,0),0) +IF(AND($S67&lt;&gt;4,AA$62&lt;&gt;4,$B$5&gt;3),IF(-LN(INDEX(consMat,$S67,AA$62))*LN(INDEX(consMat,$S67,4)*INDEX(consMat,4,AA$62))&gt;0,1,0),0) +IF(AND($S67&lt;&gt;5,AA$62&lt;&gt;5,$B$5&gt;4),IF(-LN(INDEX(consMat,$S67,AA$62))*LN(INDEX(consMat,$S67,5)*INDEX(consMat,5,AA$62))&gt;0,1,0),0) +IF(AND($S67&lt;&gt;6,AA$62&lt;&gt;6,$B$5&gt;5),IF(-LN(INDEX(consMat,$S67,AA$62))*LN(INDEX(consMat,$S67,6)*INDEX(consMat,6,AA$62))&gt;0,1,0),0) +IF(AND($S67&lt;&gt;7,AA$62&lt;&gt;7,$B$5&gt;6),IF(-LN(INDEX(consMat,$S67,AA$62))*LN(INDEX(consMat,$S67,7)*INDEX(consMat,7,AA$62))&gt;0,1,0),0) +IF(AND($S67&lt;&gt;8,AA$62&lt;&gt;8,$B$5&gt;7),IF(-LN(INDEX(consMat,$S67,AA$62))*LN(INDEX(consMat,$S67,8)*INDEX(consMat,8,AA$62))&gt;0,1,0),0) +IF(AND($S67&lt;&gt;9,AA$62&lt;&gt;9,$B$5&gt;8),IF(-LN(INDEX(consMat,$S67,AA$62))*LN(INDEX(consMat,$S67,9)*INDEX(consMat,9,AA$62))&gt;0,1,0),0) +IF(AND($S67&lt;&gt;10,AA$62&lt;&gt;10,$B$5&gt;9),IF(-LN(INDEX(consMat,$S67,AA$62))*LN(INDEX(consMat,$S67,10)*INDEX(consMat,10,AA$62))&gt;0,1,0))) )</f>
        <v>0</v>
      </c>
      <c r="AB67" s="91">
        <f>IF(OR($S67&gt;$B$5,AB$62&gt;$B$5),0, 1/($B$5-2)*(   IF(AND($S67&lt;&gt;1,AB$62&lt;&gt;1, $B$5&gt;0),IF(-LN(INDEX(consMat,$S67,AB$62))*LN(INDEX(consMat,$S67,1)*INDEX(consMat,1,AB$62))&gt;0,1,0),0) +IF(AND($S67&lt;&gt;2,AB$62&lt;&gt;2,$B$5&gt;1),IF(-LN(INDEX(consMat,$S67,AB$62))*LN(INDEX(consMat,$S67,2)*INDEX(consMat,2,AB$62))&gt;0,1,0),0) +IF(AND($S67&lt;&gt;3,AB$62&lt;&gt;3,$B$5&gt;2),IF(-LN(INDEX(consMat,$S67,AB$62))*LN(INDEX(consMat,$S67,3)*INDEX(consMat,3,AB$62))&gt;0,1,0),0) +IF(AND($S67&lt;&gt;4,AB$62&lt;&gt;4,$B$5&gt;3),IF(-LN(INDEX(consMat,$S67,AB$62))*LN(INDEX(consMat,$S67,4)*INDEX(consMat,4,AB$62))&gt;0,1,0),0) +IF(AND($S67&lt;&gt;5,AB$62&lt;&gt;5,$B$5&gt;4),IF(-LN(INDEX(consMat,$S67,AB$62))*LN(INDEX(consMat,$S67,5)*INDEX(consMat,5,AB$62))&gt;0,1,0),0) +IF(AND($S67&lt;&gt;6,AB$62&lt;&gt;6,$B$5&gt;5),IF(-LN(INDEX(consMat,$S67,AB$62))*LN(INDEX(consMat,$S67,6)*INDEX(consMat,6,AB$62))&gt;0,1,0),0) +IF(AND($S67&lt;&gt;7,AB$62&lt;&gt;7,$B$5&gt;6),IF(-LN(INDEX(consMat,$S67,AB$62))*LN(INDEX(consMat,$S67,7)*INDEX(consMat,7,AB$62))&gt;0,1,0),0) +IF(AND($S67&lt;&gt;8,AB$62&lt;&gt;8,$B$5&gt;7),IF(-LN(INDEX(consMat,$S67,AB$62))*LN(INDEX(consMat,$S67,8)*INDEX(consMat,8,AB$62))&gt;0,1,0),0) +IF(AND($S67&lt;&gt;9,AB$62&lt;&gt;9,$B$5&gt;8),IF(-LN(INDEX(consMat,$S67,AB$62))*LN(INDEX(consMat,$S67,9)*INDEX(consMat,9,AB$62))&gt;0,1,0),0) +IF(AND($S67&lt;&gt;10,AB$62&lt;&gt;10,$B$5&gt;9),IF(-LN(INDEX(consMat,$S67,AB$62))*LN(INDEX(consMat,$S67,10)*INDEX(consMat,10,AB$62))&gt;0,1,0))) )</f>
        <v>0</v>
      </c>
      <c r="AC67" s="91">
        <f>IF(OR($S67&gt;$B$5,AC$62&gt;$B$5),0, 1/($B$5-2)*(   IF(AND($S67&lt;&gt;1,AC$62&lt;&gt;1, $B$5&gt;0),IF(-LN(INDEX(consMat,$S67,AC$62))*LN(INDEX(consMat,$S67,1)*INDEX(consMat,1,AC$62))&gt;0,1,0),0) +IF(AND($S67&lt;&gt;2,AC$62&lt;&gt;2,$B$5&gt;1),IF(-LN(INDEX(consMat,$S67,AC$62))*LN(INDEX(consMat,$S67,2)*INDEX(consMat,2,AC$62))&gt;0,1,0),0) +IF(AND($S67&lt;&gt;3,AC$62&lt;&gt;3,$B$5&gt;2),IF(-LN(INDEX(consMat,$S67,AC$62))*LN(INDEX(consMat,$S67,3)*INDEX(consMat,3,AC$62))&gt;0,1,0),0) +IF(AND($S67&lt;&gt;4,AC$62&lt;&gt;4,$B$5&gt;3),IF(-LN(INDEX(consMat,$S67,AC$62))*LN(INDEX(consMat,$S67,4)*INDEX(consMat,4,AC$62))&gt;0,1,0),0) +IF(AND($S67&lt;&gt;5,AC$62&lt;&gt;5,$B$5&gt;4),IF(-LN(INDEX(consMat,$S67,AC$62))*LN(INDEX(consMat,$S67,5)*INDEX(consMat,5,AC$62))&gt;0,1,0),0) +IF(AND($S67&lt;&gt;6,AC$62&lt;&gt;6,$B$5&gt;5),IF(-LN(INDEX(consMat,$S67,AC$62))*LN(INDEX(consMat,$S67,6)*INDEX(consMat,6,AC$62))&gt;0,1,0),0) +IF(AND($S67&lt;&gt;7,AC$62&lt;&gt;7,$B$5&gt;6),IF(-LN(INDEX(consMat,$S67,AC$62))*LN(INDEX(consMat,$S67,7)*INDEX(consMat,7,AC$62))&gt;0,1,0),0) +IF(AND($S67&lt;&gt;8,AC$62&lt;&gt;8,$B$5&gt;7),IF(-LN(INDEX(consMat,$S67,AC$62))*LN(INDEX(consMat,$S67,8)*INDEX(consMat,8,AC$62))&gt;0,1,0),0) +IF(AND($S67&lt;&gt;9,AC$62&lt;&gt;9,$B$5&gt;8),IF(-LN(INDEX(consMat,$S67,AC$62))*LN(INDEX(consMat,$S67,9)*INDEX(consMat,9,AC$62))&gt;0,1,0),0) +IF(AND($S67&lt;&gt;10,AC$62&lt;&gt;10,$B$5&gt;9),IF(-LN(INDEX(consMat,$S67,AC$62))*LN(INDEX(consMat,$S67,10)*INDEX(consMat,10,AC$62))&gt;0,1,0))) )</f>
        <v>0</v>
      </c>
      <c r="AL67" s="72"/>
    </row>
    <row r="68" spans="1:38" hidden="1" outlineLevel="1" x14ac:dyDescent="0.25">
      <c r="A68" s="121"/>
      <c r="B68" s="118">
        <v>5</v>
      </c>
      <c r="C68" s="119" t="e">
        <f>IF(B68&lt;=$B$7,TRANSPOSE(RGGM5),)</f>
        <v>#VALUE!</v>
      </c>
      <c r="D68" s="119">
        <v>0</v>
      </c>
      <c r="E68" s="119">
        <v>0</v>
      </c>
      <c r="F68" s="119">
        <v>0</v>
      </c>
      <c r="G68" s="119">
        <v>0</v>
      </c>
      <c r="H68" s="119">
        <v>0</v>
      </c>
      <c r="I68" s="119">
        <v>0</v>
      </c>
      <c r="J68" s="119">
        <v>0</v>
      </c>
      <c r="K68" s="119">
        <v>0</v>
      </c>
      <c r="L68" s="119">
        <v>0</v>
      </c>
      <c r="M68" s="118"/>
      <c r="N68" s="6"/>
      <c r="O68" s="113"/>
      <c r="P68" s="6"/>
      <c r="S68" s="66">
        <v>6</v>
      </c>
      <c r="T68" s="95"/>
      <c r="U68" s="95"/>
      <c r="V68" s="95"/>
      <c r="W68" s="95"/>
      <c r="X68" s="95"/>
      <c r="Y68" s="90"/>
      <c r="Z68" s="91">
        <f>IF(OR($S68&gt;$B$5,Z$62&gt;$B$5),0, 1/($B$5-2)*(   IF(AND($S68&lt;&gt;1,Z$62&lt;&gt;1, $B$5&gt;0),IF(-LN(INDEX(consMat,$S68,Z$62))*LN(INDEX(consMat,$S68,1)*INDEX(consMat,1,Z$62))&gt;0,1,0),0) +IF(AND($S68&lt;&gt;2,Z$62&lt;&gt;2,$B$5&gt;1),IF(-LN(INDEX(consMat,$S68,Z$62))*LN(INDEX(consMat,$S68,2)*INDEX(consMat,2,Z$62))&gt;0,1,0),0) +IF(AND($S68&lt;&gt;3,Z$62&lt;&gt;3,$B$5&gt;2),IF(-LN(INDEX(consMat,$S68,Z$62))*LN(INDEX(consMat,$S68,3)*INDEX(consMat,3,Z$62))&gt;0,1,0),0) +IF(AND($S68&lt;&gt;4,Z$62&lt;&gt;4,$B$5&gt;3),IF(-LN(INDEX(consMat,$S68,Z$62))*LN(INDEX(consMat,$S68,4)*INDEX(consMat,4,Z$62))&gt;0,1,0),0) +IF(AND($S68&lt;&gt;5,Z$62&lt;&gt;5,$B$5&gt;4),IF(-LN(INDEX(consMat,$S68,Z$62))*LN(INDEX(consMat,$S68,5)*INDEX(consMat,5,Z$62))&gt;0,1,0),0) +IF(AND($S68&lt;&gt;6,Z$62&lt;&gt;6,$B$5&gt;5),IF(-LN(INDEX(consMat,$S68,Z$62))*LN(INDEX(consMat,$S68,6)*INDEX(consMat,6,Z$62))&gt;0,1,0),0) +IF(AND($S68&lt;&gt;7,Z$62&lt;&gt;7,$B$5&gt;6),IF(-LN(INDEX(consMat,$S68,Z$62))*LN(INDEX(consMat,$S68,7)*INDEX(consMat,7,Z$62))&gt;0,1,0),0) +IF(AND($S68&lt;&gt;8,Z$62&lt;&gt;8,$B$5&gt;7),IF(-LN(INDEX(consMat,$S68,Z$62))*LN(INDEX(consMat,$S68,8)*INDEX(consMat,8,Z$62))&gt;0,1,0),0) +IF(AND($S68&lt;&gt;9,Z$62&lt;&gt;9,$B$5&gt;8),IF(-LN(INDEX(consMat,$S68,Z$62))*LN(INDEX(consMat,$S68,9)*INDEX(consMat,9,Z$62))&gt;0,1,0),0) +IF(AND($S68&lt;&gt;10,Z$62&lt;&gt;10,$B$5&gt;9),IF(-LN(INDEX(consMat,$S68,Z$62))*LN(INDEX(consMat,$S68,10)*INDEX(consMat,10,Z$62))&gt;0,1,0))) )</f>
        <v>0</v>
      </c>
      <c r="AA68" s="91">
        <f>IF(OR($S68&gt;$B$5,AA$62&gt;$B$5),0, 1/($B$5-2)*(   IF(AND($S68&lt;&gt;1,AA$62&lt;&gt;1, $B$5&gt;0),IF(-LN(INDEX(consMat,$S68,AA$62))*LN(INDEX(consMat,$S68,1)*INDEX(consMat,1,AA$62))&gt;0,1,0),0) +IF(AND($S68&lt;&gt;2,AA$62&lt;&gt;2,$B$5&gt;1),IF(-LN(INDEX(consMat,$S68,AA$62))*LN(INDEX(consMat,$S68,2)*INDEX(consMat,2,AA$62))&gt;0,1,0),0) +IF(AND($S68&lt;&gt;3,AA$62&lt;&gt;3,$B$5&gt;2),IF(-LN(INDEX(consMat,$S68,AA$62))*LN(INDEX(consMat,$S68,3)*INDEX(consMat,3,AA$62))&gt;0,1,0),0) +IF(AND($S68&lt;&gt;4,AA$62&lt;&gt;4,$B$5&gt;3),IF(-LN(INDEX(consMat,$S68,AA$62))*LN(INDEX(consMat,$S68,4)*INDEX(consMat,4,AA$62))&gt;0,1,0),0) +IF(AND($S68&lt;&gt;5,AA$62&lt;&gt;5,$B$5&gt;4),IF(-LN(INDEX(consMat,$S68,AA$62))*LN(INDEX(consMat,$S68,5)*INDEX(consMat,5,AA$62))&gt;0,1,0),0) +IF(AND($S68&lt;&gt;6,AA$62&lt;&gt;6,$B$5&gt;5),IF(-LN(INDEX(consMat,$S68,AA$62))*LN(INDEX(consMat,$S68,6)*INDEX(consMat,6,AA$62))&gt;0,1,0),0) +IF(AND($S68&lt;&gt;7,AA$62&lt;&gt;7,$B$5&gt;6),IF(-LN(INDEX(consMat,$S68,AA$62))*LN(INDEX(consMat,$S68,7)*INDEX(consMat,7,AA$62))&gt;0,1,0),0) +IF(AND($S68&lt;&gt;8,AA$62&lt;&gt;8,$B$5&gt;7),IF(-LN(INDEX(consMat,$S68,AA$62))*LN(INDEX(consMat,$S68,8)*INDEX(consMat,8,AA$62))&gt;0,1,0),0) +IF(AND($S68&lt;&gt;9,AA$62&lt;&gt;9,$B$5&gt;8),IF(-LN(INDEX(consMat,$S68,AA$62))*LN(INDEX(consMat,$S68,9)*INDEX(consMat,9,AA$62))&gt;0,1,0),0) +IF(AND($S68&lt;&gt;10,AA$62&lt;&gt;10,$B$5&gt;9),IF(-LN(INDEX(consMat,$S68,AA$62))*LN(INDEX(consMat,$S68,10)*INDEX(consMat,10,AA$62))&gt;0,1,0))) )</f>
        <v>0</v>
      </c>
      <c r="AB68" s="91">
        <f>IF(OR($S68&gt;$B$5,AB$62&gt;$B$5),0, 1/($B$5-2)*(   IF(AND($S68&lt;&gt;1,AB$62&lt;&gt;1, $B$5&gt;0),IF(-LN(INDEX(consMat,$S68,AB$62))*LN(INDEX(consMat,$S68,1)*INDEX(consMat,1,AB$62))&gt;0,1,0),0) +IF(AND($S68&lt;&gt;2,AB$62&lt;&gt;2,$B$5&gt;1),IF(-LN(INDEX(consMat,$S68,AB$62))*LN(INDEX(consMat,$S68,2)*INDEX(consMat,2,AB$62))&gt;0,1,0),0) +IF(AND($S68&lt;&gt;3,AB$62&lt;&gt;3,$B$5&gt;2),IF(-LN(INDEX(consMat,$S68,AB$62))*LN(INDEX(consMat,$S68,3)*INDEX(consMat,3,AB$62))&gt;0,1,0),0) +IF(AND($S68&lt;&gt;4,AB$62&lt;&gt;4,$B$5&gt;3),IF(-LN(INDEX(consMat,$S68,AB$62))*LN(INDEX(consMat,$S68,4)*INDEX(consMat,4,AB$62))&gt;0,1,0),0) +IF(AND($S68&lt;&gt;5,AB$62&lt;&gt;5,$B$5&gt;4),IF(-LN(INDEX(consMat,$S68,AB$62))*LN(INDEX(consMat,$S68,5)*INDEX(consMat,5,AB$62))&gt;0,1,0),0) +IF(AND($S68&lt;&gt;6,AB$62&lt;&gt;6,$B$5&gt;5),IF(-LN(INDEX(consMat,$S68,AB$62))*LN(INDEX(consMat,$S68,6)*INDEX(consMat,6,AB$62))&gt;0,1,0),0) +IF(AND($S68&lt;&gt;7,AB$62&lt;&gt;7,$B$5&gt;6),IF(-LN(INDEX(consMat,$S68,AB$62))*LN(INDEX(consMat,$S68,7)*INDEX(consMat,7,AB$62))&gt;0,1,0),0) +IF(AND($S68&lt;&gt;8,AB$62&lt;&gt;8,$B$5&gt;7),IF(-LN(INDEX(consMat,$S68,AB$62))*LN(INDEX(consMat,$S68,8)*INDEX(consMat,8,AB$62))&gt;0,1,0),0) +IF(AND($S68&lt;&gt;9,AB$62&lt;&gt;9,$B$5&gt;8),IF(-LN(INDEX(consMat,$S68,AB$62))*LN(INDEX(consMat,$S68,9)*INDEX(consMat,9,AB$62))&gt;0,1,0),0) +IF(AND($S68&lt;&gt;10,AB$62&lt;&gt;10,$B$5&gt;9),IF(-LN(INDEX(consMat,$S68,AB$62))*LN(INDEX(consMat,$S68,10)*INDEX(consMat,10,AB$62))&gt;0,1,0))) )</f>
        <v>0</v>
      </c>
      <c r="AC68" s="91">
        <f>IF(OR($S68&gt;$B$5,AC$62&gt;$B$5),0, 1/($B$5-2)*(   IF(AND($S68&lt;&gt;1,AC$62&lt;&gt;1, $B$5&gt;0),IF(-LN(INDEX(consMat,$S68,AC$62))*LN(INDEX(consMat,$S68,1)*INDEX(consMat,1,AC$62))&gt;0,1,0),0) +IF(AND($S68&lt;&gt;2,AC$62&lt;&gt;2,$B$5&gt;1),IF(-LN(INDEX(consMat,$S68,AC$62))*LN(INDEX(consMat,$S68,2)*INDEX(consMat,2,AC$62))&gt;0,1,0),0) +IF(AND($S68&lt;&gt;3,AC$62&lt;&gt;3,$B$5&gt;2),IF(-LN(INDEX(consMat,$S68,AC$62))*LN(INDEX(consMat,$S68,3)*INDEX(consMat,3,AC$62))&gt;0,1,0),0) +IF(AND($S68&lt;&gt;4,AC$62&lt;&gt;4,$B$5&gt;3),IF(-LN(INDEX(consMat,$S68,AC$62))*LN(INDEX(consMat,$S68,4)*INDEX(consMat,4,AC$62))&gt;0,1,0),0) +IF(AND($S68&lt;&gt;5,AC$62&lt;&gt;5,$B$5&gt;4),IF(-LN(INDEX(consMat,$S68,AC$62))*LN(INDEX(consMat,$S68,5)*INDEX(consMat,5,AC$62))&gt;0,1,0),0) +IF(AND($S68&lt;&gt;6,AC$62&lt;&gt;6,$B$5&gt;5),IF(-LN(INDEX(consMat,$S68,AC$62))*LN(INDEX(consMat,$S68,6)*INDEX(consMat,6,AC$62))&gt;0,1,0),0) +IF(AND($S68&lt;&gt;7,AC$62&lt;&gt;7,$B$5&gt;6),IF(-LN(INDEX(consMat,$S68,AC$62))*LN(INDEX(consMat,$S68,7)*INDEX(consMat,7,AC$62))&gt;0,1,0),0) +IF(AND($S68&lt;&gt;8,AC$62&lt;&gt;8,$B$5&gt;7),IF(-LN(INDEX(consMat,$S68,AC$62))*LN(INDEX(consMat,$S68,8)*INDEX(consMat,8,AC$62))&gt;0,1,0),0) +IF(AND($S68&lt;&gt;9,AC$62&lt;&gt;9,$B$5&gt;8),IF(-LN(INDEX(consMat,$S68,AC$62))*LN(INDEX(consMat,$S68,9)*INDEX(consMat,9,AC$62))&gt;0,1,0),0) +IF(AND($S68&lt;&gt;10,AC$62&lt;&gt;10,$B$5&gt;9),IF(-LN(INDEX(consMat,$S68,AC$62))*LN(INDEX(consMat,$S68,10)*INDEX(consMat,10,AC$62))&gt;0,1,0))) )</f>
        <v>0</v>
      </c>
      <c r="AL68" s="72"/>
    </row>
    <row r="69" spans="1:38" hidden="1" outlineLevel="1" x14ac:dyDescent="0.25">
      <c r="A69" s="121"/>
      <c r="B69" s="118">
        <v>6</v>
      </c>
      <c r="C69" s="119">
        <f>IF(B69&lt;=$B$7,TRANSPOSE(RGGM6),)</f>
        <v>0</v>
      </c>
      <c r="D69" s="119">
        <v>0</v>
      </c>
      <c r="E69" s="119">
        <v>0</v>
      </c>
      <c r="F69" s="119">
        <v>0</v>
      </c>
      <c r="G69" s="119">
        <v>0</v>
      </c>
      <c r="H69" s="119">
        <v>0</v>
      </c>
      <c r="I69" s="119">
        <v>0</v>
      </c>
      <c r="J69" s="119">
        <v>0</v>
      </c>
      <c r="K69" s="119">
        <v>0</v>
      </c>
      <c r="L69" s="119">
        <v>0</v>
      </c>
      <c r="M69" s="118"/>
      <c r="N69" s="6"/>
      <c r="O69" s="113"/>
      <c r="P69" s="6"/>
      <c r="S69" s="66">
        <v>7</v>
      </c>
      <c r="T69" s="95"/>
      <c r="U69" s="95"/>
      <c r="V69" s="95"/>
      <c r="W69" s="95"/>
      <c r="X69" s="95"/>
      <c r="Y69" s="95"/>
      <c r="Z69" s="90"/>
      <c r="AA69" s="91">
        <f>IF(OR($S69&gt;$B$5,AA$62&gt;$B$5),0, 1/($B$5-2)*(   IF(AND($S69&lt;&gt;1,AA$62&lt;&gt;1, $B$5&gt;0),IF(-LN(INDEX(consMat,$S69,AA$62))*LN(INDEX(consMat,$S69,1)*INDEX(consMat,1,AA$62))&gt;0,1,0),0) +IF(AND($S69&lt;&gt;2,AA$62&lt;&gt;2,$B$5&gt;1),IF(-LN(INDEX(consMat,$S69,AA$62))*LN(INDEX(consMat,$S69,2)*INDEX(consMat,2,AA$62))&gt;0,1,0),0) +IF(AND($S69&lt;&gt;3,AA$62&lt;&gt;3,$B$5&gt;2),IF(-LN(INDEX(consMat,$S69,AA$62))*LN(INDEX(consMat,$S69,3)*INDEX(consMat,3,AA$62))&gt;0,1,0),0) +IF(AND($S69&lt;&gt;4,AA$62&lt;&gt;4,$B$5&gt;3),IF(-LN(INDEX(consMat,$S69,AA$62))*LN(INDEX(consMat,$S69,4)*INDEX(consMat,4,AA$62))&gt;0,1,0),0) +IF(AND($S69&lt;&gt;5,AA$62&lt;&gt;5,$B$5&gt;4),IF(-LN(INDEX(consMat,$S69,AA$62))*LN(INDEX(consMat,$S69,5)*INDEX(consMat,5,AA$62))&gt;0,1,0),0) +IF(AND($S69&lt;&gt;6,AA$62&lt;&gt;6,$B$5&gt;5),IF(-LN(INDEX(consMat,$S69,AA$62))*LN(INDEX(consMat,$S69,6)*INDEX(consMat,6,AA$62))&gt;0,1,0),0) +IF(AND($S69&lt;&gt;7,AA$62&lt;&gt;7,$B$5&gt;6),IF(-LN(INDEX(consMat,$S69,AA$62))*LN(INDEX(consMat,$S69,7)*INDEX(consMat,7,AA$62))&gt;0,1,0),0) +IF(AND($S69&lt;&gt;8,AA$62&lt;&gt;8,$B$5&gt;7),IF(-LN(INDEX(consMat,$S69,AA$62))*LN(INDEX(consMat,$S69,8)*INDEX(consMat,8,AA$62))&gt;0,1,0),0) +IF(AND($S69&lt;&gt;9,AA$62&lt;&gt;9,$B$5&gt;8),IF(-LN(INDEX(consMat,$S69,AA$62))*LN(INDEX(consMat,$S69,9)*INDEX(consMat,9,AA$62))&gt;0,1,0),0) +IF(AND($S69&lt;&gt;10,AA$62&lt;&gt;10,$B$5&gt;9),IF(-LN(INDEX(consMat,$S69,AA$62))*LN(INDEX(consMat,$S69,10)*INDEX(consMat,10,AA$62))&gt;0,1,0))) )</f>
        <v>0</v>
      </c>
      <c r="AB69" s="91">
        <f>IF(OR($S69&gt;$B$5,AB$62&gt;$B$5),0, 1/($B$5-2)*(   IF(AND($S69&lt;&gt;1,AB$62&lt;&gt;1, $B$5&gt;0),IF(-LN(INDEX(consMat,$S69,AB$62))*LN(INDEX(consMat,$S69,1)*INDEX(consMat,1,AB$62))&gt;0,1,0),0) +IF(AND($S69&lt;&gt;2,AB$62&lt;&gt;2,$B$5&gt;1),IF(-LN(INDEX(consMat,$S69,AB$62))*LN(INDEX(consMat,$S69,2)*INDEX(consMat,2,AB$62))&gt;0,1,0),0) +IF(AND($S69&lt;&gt;3,AB$62&lt;&gt;3,$B$5&gt;2),IF(-LN(INDEX(consMat,$S69,AB$62))*LN(INDEX(consMat,$S69,3)*INDEX(consMat,3,AB$62))&gt;0,1,0),0) +IF(AND($S69&lt;&gt;4,AB$62&lt;&gt;4,$B$5&gt;3),IF(-LN(INDEX(consMat,$S69,AB$62))*LN(INDEX(consMat,$S69,4)*INDEX(consMat,4,AB$62))&gt;0,1,0),0) +IF(AND($S69&lt;&gt;5,AB$62&lt;&gt;5,$B$5&gt;4),IF(-LN(INDEX(consMat,$S69,AB$62))*LN(INDEX(consMat,$S69,5)*INDEX(consMat,5,AB$62))&gt;0,1,0),0) +IF(AND($S69&lt;&gt;6,AB$62&lt;&gt;6,$B$5&gt;5),IF(-LN(INDEX(consMat,$S69,AB$62))*LN(INDEX(consMat,$S69,6)*INDEX(consMat,6,AB$62))&gt;0,1,0),0) +IF(AND($S69&lt;&gt;7,AB$62&lt;&gt;7,$B$5&gt;6),IF(-LN(INDEX(consMat,$S69,AB$62))*LN(INDEX(consMat,$S69,7)*INDEX(consMat,7,AB$62))&gt;0,1,0),0) +IF(AND($S69&lt;&gt;8,AB$62&lt;&gt;8,$B$5&gt;7),IF(-LN(INDEX(consMat,$S69,AB$62))*LN(INDEX(consMat,$S69,8)*INDEX(consMat,8,AB$62))&gt;0,1,0),0) +IF(AND($S69&lt;&gt;9,AB$62&lt;&gt;9,$B$5&gt;8),IF(-LN(INDEX(consMat,$S69,AB$62))*LN(INDEX(consMat,$S69,9)*INDEX(consMat,9,AB$62))&gt;0,1,0),0) +IF(AND($S69&lt;&gt;10,AB$62&lt;&gt;10,$B$5&gt;9),IF(-LN(INDEX(consMat,$S69,AB$62))*LN(INDEX(consMat,$S69,10)*INDEX(consMat,10,AB$62))&gt;0,1,0))) )</f>
        <v>0</v>
      </c>
      <c r="AC69" s="91">
        <f>IF(OR($S69&gt;$B$5,AC$62&gt;$B$5),0, 1/($B$5-2)*(   IF(AND($S69&lt;&gt;1,AC$62&lt;&gt;1, $B$5&gt;0),IF(-LN(INDEX(consMat,$S69,AC$62))*LN(INDEX(consMat,$S69,1)*INDEX(consMat,1,AC$62))&gt;0,1,0),0) +IF(AND($S69&lt;&gt;2,AC$62&lt;&gt;2,$B$5&gt;1),IF(-LN(INDEX(consMat,$S69,AC$62))*LN(INDEX(consMat,$S69,2)*INDEX(consMat,2,AC$62))&gt;0,1,0),0) +IF(AND($S69&lt;&gt;3,AC$62&lt;&gt;3,$B$5&gt;2),IF(-LN(INDEX(consMat,$S69,AC$62))*LN(INDEX(consMat,$S69,3)*INDEX(consMat,3,AC$62))&gt;0,1,0),0) +IF(AND($S69&lt;&gt;4,AC$62&lt;&gt;4,$B$5&gt;3),IF(-LN(INDEX(consMat,$S69,AC$62))*LN(INDEX(consMat,$S69,4)*INDEX(consMat,4,AC$62))&gt;0,1,0),0) +IF(AND($S69&lt;&gt;5,AC$62&lt;&gt;5,$B$5&gt;4),IF(-LN(INDEX(consMat,$S69,AC$62))*LN(INDEX(consMat,$S69,5)*INDEX(consMat,5,AC$62))&gt;0,1,0),0) +IF(AND($S69&lt;&gt;6,AC$62&lt;&gt;6,$B$5&gt;5),IF(-LN(INDEX(consMat,$S69,AC$62))*LN(INDEX(consMat,$S69,6)*INDEX(consMat,6,AC$62))&gt;0,1,0),0) +IF(AND($S69&lt;&gt;7,AC$62&lt;&gt;7,$B$5&gt;6),IF(-LN(INDEX(consMat,$S69,AC$62))*LN(INDEX(consMat,$S69,7)*INDEX(consMat,7,AC$62))&gt;0,1,0),0) +IF(AND($S69&lt;&gt;8,AC$62&lt;&gt;8,$B$5&gt;7),IF(-LN(INDEX(consMat,$S69,AC$62))*LN(INDEX(consMat,$S69,8)*INDEX(consMat,8,AC$62))&gt;0,1,0),0) +IF(AND($S69&lt;&gt;9,AC$62&lt;&gt;9,$B$5&gt;8),IF(-LN(INDEX(consMat,$S69,AC$62))*LN(INDEX(consMat,$S69,9)*INDEX(consMat,9,AC$62))&gt;0,1,0),0) +IF(AND($S69&lt;&gt;10,AC$62&lt;&gt;10,$B$5&gt;9),IF(-LN(INDEX(consMat,$S69,AC$62))*LN(INDEX(consMat,$S69,10)*INDEX(consMat,10,AC$62))&gt;0,1,0))) )</f>
        <v>0</v>
      </c>
      <c r="AL69" s="72"/>
    </row>
    <row r="70" spans="1:38" hidden="1" outlineLevel="1" x14ac:dyDescent="0.25">
      <c r="A70" s="121"/>
      <c r="B70" s="118">
        <v>7</v>
      </c>
      <c r="C70" s="119">
        <f>IF(B70&lt;=$B$7,TRANSPOSE(RGGM7),)</f>
        <v>0</v>
      </c>
      <c r="D70" s="119">
        <v>0</v>
      </c>
      <c r="E70" s="119">
        <v>0</v>
      </c>
      <c r="F70" s="119">
        <v>0</v>
      </c>
      <c r="G70" s="119">
        <v>0</v>
      </c>
      <c r="H70" s="119">
        <v>0</v>
      </c>
      <c r="I70" s="119">
        <v>0</v>
      </c>
      <c r="J70" s="119">
        <v>0</v>
      </c>
      <c r="K70" s="119">
        <v>0</v>
      </c>
      <c r="L70" s="119">
        <v>0</v>
      </c>
      <c r="M70" s="118"/>
      <c r="N70" s="6"/>
      <c r="O70" s="113"/>
      <c r="P70" s="6"/>
      <c r="S70" s="66">
        <v>8</v>
      </c>
      <c r="T70" s="95"/>
      <c r="U70" s="95"/>
      <c r="V70" s="95"/>
      <c r="W70" s="95"/>
      <c r="X70" s="95"/>
      <c r="Y70" s="95"/>
      <c r="Z70" s="95"/>
      <c r="AA70" s="90"/>
      <c r="AB70" s="91">
        <f>IF(OR($S70&gt;$B$5,AB$62&gt;$B$5),0, 1/($B$5-2)*(   IF(AND($S70&lt;&gt;1,AB$62&lt;&gt;1, $B$5&gt;0),IF(-LN(INDEX(consMat,$S70,AB$62))*LN(INDEX(consMat,$S70,1)*INDEX(consMat,1,AB$62))&gt;0,1,0),0) +IF(AND($S70&lt;&gt;2,AB$62&lt;&gt;2,$B$5&gt;1),IF(-LN(INDEX(consMat,$S70,AB$62))*LN(INDEX(consMat,$S70,2)*INDEX(consMat,2,AB$62))&gt;0,1,0),0) +IF(AND($S70&lt;&gt;3,AB$62&lt;&gt;3,$B$5&gt;2),IF(-LN(INDEX(consMat,$S70,AB$62))*LN(INDEX(consMat,$S70,3)*INDEX(consMat,3,AB$62))&gt;0,1,0),0) +IF(AND($S70&lt;&gt;4,AB$62&lt;&gt;4,$B$5&gt;3),IF(-LN(INDEX(consMat,$S70,AB$62))*LN(INDEX(consMat,$S70,4)*INDEX(consMat,4,AB$62))&gt;0,1,0),0) +IF(AND($S70&lt;&gt;5,AB$62&lt;&gt;5,$B$5&gt;4),IF(-LN(INDEX(consMat,$S70,AB$62))*LN(INDEX(consMat,$S70,5)*INDEX(consMat,5,AB$62))&gt;0,1,0),0) +IF(AND($S70&lt;&gt;6,AB$62&lt;&gt;6,$B$5&gt;5),IF(-LN(INDEX(consMat,$S70,AB$62))*LN(INDEX(consMat,$S70,6)*INDEX(consMat,6,AB$62))&gt;0,1,0),0) +IF(AND($S70&lt;&gt;7,AB$62&lt;&gt;7,$B$5&gt;6),IF(-LN(INDEX(consMat,$S70,AB$62))*LN(INDEX(consMat,$S70,7)*INDEX(consMat,7,AB$62))&gt;0,1,0),0) +IF(AND($S70&lt;&gt;8,AB$62&lt;&gt;8,$B$5&gt;7),IF(-LN(INDEX(consMat,$S70,AB$62))*LN(INDEX(consMat,$S70,8)*INDEX(consMat,8,AB$62))&gt;0,1,0),0) +IF(AND($S70&lt;&gt;9,AB$62&lt;&gt;9,$B$5&gt;8),IF(-LN(INDEX(consMat,$S70,AB$62))*LN(INDEX(consMat,$S70,9)*INDEX(consMat,9,AB$62))&gt;0,1,0),0) +IF(AND($S70&lt;&gt;10,AB$62&lt;&gt;10,$B$5&gt;9),IF(-LN(INDEX(consMat,$S70,AB$62))*LN(INDEX(consMat,$S70,10)*INDEX(consMat,10,AB$62))&gt;0,1,0))) )</f>
        <v>0</v>
      </c>
      <c r="AC70" s="91">
        <f>IF(OR($S70&gt;$B$5,AC$62&gt;$B$5),0, 1/($B$5-2)*(   IF(AND($S70&lt;&gt;1,AC$62&lt;&gt;1, $B$5&gt;0),IF(-LN(INDEX(consMat,$S70,AC$62))*LN(INDEX(consMat,$S70,1)*INDEX(consMat,1,AC$62))&gt;0,1,0),0) +IF(AND($S70&lt;&gt;2,AC$62&lt;&gt;2,$B$5&gt;1),IF(-LN(INDEX(consMat,$S70,AC$62))*LN(INDEX(consMat,$S70,2)*INDEX(consMat,2,AC$62))&gt;0,1,0),0) +IF(AND($S70&lt;&gt;3,AC$62&lt;&gt;3,$B$5&gt;2),IF(-LN(INDEX(consMat,$S70,AC$62))*LN(INDEX(consMat,$S70,3)*INDEX(consMat,3,AC$62))&gt;0,1,0),0) +IF(AND($S70&lt;&gt;4,AC$62&lt;&gt;4,$B$5&gt;3),IF(-LN(INDEX(consMat,$S70,AC$62))*LN(INDEX(consMat,$S70,4)*INDEX(consMat,4,AC$62))&gt;0,1,0),0) +IF(AND($S70&lt;&gt;5,AC$62&lt;&gt;5,$B$5&gt;4),IF(-LN(INDEX(consMat,$S70,AC$62))*LN(INDEX(consMat,$S70,5)*INDEX(consMat,5,AC$62))&gt;0,1,0),0) +IF(AND($S70&lt;&gt;6,AC$62&lt;&gt;6,$B$5&gt;5),IF(-LN(INDEX(consMat,$S70,AC$62))*LN(INDEX(consMat,$S70,6)*INDEX(consMat,6,AC$62))&gt;0,1,0),0) +IF(AND($S70&lt;&gt;7,AC$62&lt;&gt;7,$B$5&gt;6),IF(-LN(INDEX(consMat,$S70,AC$62))*LN(INDEX(consMat,$S70,7)*INDEX(consMat,7,AC$62))&gt;0,1,0),0) +IF(AND($S70&lt;&gt;8,AC$62&lt;&gt;8,$B$5&gt;7),IF(-LN(INDEX(consMat,$S70,AC$62))*LN(INDEX(consMat,$S70,8)*INDEX(consMat,8,AC$62))&gt;0,1,0),0) +IF(AND($S70&lt;&gt;9,AC$62&lt;&gt;9,$B$5&gt;8),IF(-LN(INDEX(consMat,$S70,AC$62))*LN(INDEX(consMat,$S70,9)*INDEX(consMat,9,AC$62))&gt;0,1,0),0) +IF(AND($S70&lt;&gt;10,AC$62&lt;&gt;10,$B$5&gt;9),IF(-LN(INDEX(consMat,$S70,AC$62))*LN(INDEX(consMat,$S70,10)*INDEX(consMat,10,AC$62))&gt;0,1,0))) )</f>
        <v>0</v>
      </c>
      <c r="AL70" s="72"/>
    </row>
    <row r="71" spans="1:38" hidden="1" outlineLevel="1" x14ac:dyDescent="0.25">
      <c r="A71" s="121"/>
      <c r="B71" s="118">
        <v>8</v>
      </c>
      <c r="C71" s="119">
        <f>IF(B71&lt;=$B$7,TRANSPOSE(RGGM8),)</f>
        <v>0</v>
      </c>
      <c r="D71" s="119">
        <v>0</v>
      </c>
      <c r="E71" s="119">
        <v>0</v>
      </c>
      <c r="F71" s="119">
        <v>0</v>
      </c>
      <c r="G71" s="119">
        <v>0</v>
      </c>
      <c r="H71" s="119">
        <v>0</v>
      </c>
      <c r="I71" s="119">
        <v>0</v>
      </c>
      <c r="J71" s="119">
        <v>0</v>
      </c>
      <c r="K71" s="119">
        <v>0</v>
      </c>
      <c r="L71" s="119">
        <v>0</v>
      </c>
      <c r="M71" s="118"/>
      <c r="N71" s="6"/>
      <c r="O71" s="113"/>
      <c r="P71" s="6"/>
      <c r="S71" s="66">
        <v>9</v>
      </c>
      <c r="T71" s="95"/>
      <c r="U71" s="95"/>
      <c r="V71" s="95"/>
      <c r="W71" s="95"/>
      <c r="X71" s="95"/>
      <c r="Y71" s="95"/>
      <c r="Z71" s="95"/>
      <c r="AA71" s="95"/>
      <c r="AB71" s="90"/>
      <c r="AC71" s="91">
        <f>IF(OR($S71&gt;$B$5,AC$62&gt;$B$5),0, 1/($B$5-2)*(   IF(AND($S71&lt;&gt;1,AC$62&lt;&gt;1, $B$5&gt;0),IF(-LN(INDEX(consMat,$S71,AC$62))*LN(INDEX(consMat,$S71,1)*INDEX(consMat,1,AC$62))&gt;0,1,0),0) +IF(AND($S71&lt;&gt;2,AC$62&lt;&gt;2,$B$5&gt;1),IF(-LN(INDEX(consMat,$S71,AC$62))*LN(INDEX(consMat,$S71,2)*INDEX(consMat,2,AC$62))&gt;0,1,0),0) +IF(AND($S71&lt;&gt;3,AC$62&lt;&gt;3,$B$5&gt;2),IF(-LN(INDEX(consMat,$S71,AC$62))*LN(INDEX(consMat,$S71,3)*INDEX(consMat,3,AC$62))&gt;0,1,0),0) +IF(AND($S71&lt;&gt;4,AC$62&lt;&gt;4,$B$5&gt;3),IF(-LN(INDEX(consMat,$S71,AC$62))*LN(INDEX(consMat,$S71,4)*INDEX(consMat,4,AC$62))&gt;0,1,0),0) +IF(AND($S71&lt;&gt;5,AC$62&lt;&gt;5,$B$5&gt;4),IF(-LN(INDEX(consMat,$S71,AC$62))*LN(INDEX(consMat,$S71,5)*INDEX(consMat,5,AC$62))&gt;0,1,0),0) +IF(AND($S71&lt;&gt;6,AC$62&lt;&gt;6,$B$5&gt;5),IF(-LN(INDEX(consMat,$S71,AC$62))*LN(INDEX(consMat,$S71,6)*INDEX(consMat,6,AC$62))&gt;0,1,0),0) +IF(AND($S71&lt;&gt;7,AC$62&lt;&gt;7,$B$5&gt;6),IF(-LN(INDEX(consMat,$S71,AC$62))*LN(INDEX(consMat,$S71,7)*INDEX(consMat,7,AC$62))&gt;0,1,0),0) +IF(AND($S71&lt;&gt;8,AC$62&lt;&gt;8,$B$5&gt;7),IF(-LN(INDEX(consMat,$S71,AC$62))*LN(INDEX(consMat,$S71,8)*INDEX(consMat,8,AC$62))&gt;0,1,0),0) +IF(AND($S71&lt;&gt;9,AC$62&lt;&gt;9,$B$5&gt;8),IF(-LN(INDEX(consMat,$S71,AC$62))*LN(INDEX(consMat,$S71,9)*INDEX(consMat,9,AC$62))&gt;0,1,0),0) +IF(AND($S71&lt;&gt;10,AC$62&lt;&gt;10,$B$5&gt;9),IF(-LN(INDEX(consMat,$S71,AC$62))*LN(INDEX(consMat,$S71,10)*INDEX(consMat,10,AC$62))&gt;0,1,0))) )</f>
        <v>0</v>
      </c>
      <c r="AL71" s="72"/>
    </row>
    <row r="72" spans="1:38" hidden="1" outlineLevel="1" x14ac:dyDescent="0.25">
      <c r="A72" s="121"/>
      <c r="B72" s="118">
        <v>9</v>
      </c>
      <c r="C72" s="119">
        <f>IF(B72&lt;=$B$7,TRANSPOSE(RGGM9),)</f>
        <v>0</v>
      </c>
      <c r="D72" s="119">
        <v>0</v>
      </c>
      <c r="E72" s="119">
        <v>0</v>
      </c>
      <c r="F72" s="119">
        <v>0</v>
      </c>
      <c r="G72" s="119">
        <v>0</v>
      </c>
      <c r="H72" s="119">
        <v>0</v>
      </c>
      <c r="I72" s="119">
        <v>0</v>
      </c>
      <c r="J72" s="119">
        <v>0</v>
      </c>
      <c r="K72" s="119">
        <v>0</v>
      </c>
      <c r="L72" s="119">
        <v>0</v>
      </c>
      <c r="M72" s="118"/>
      <c r="N72" s="6"/>
      <c r="O72" s="113"/>
      <c r="P72" s="6"/>
      <c r="S72" s="66">
        <v>10</v>
      </c>
      <c r="T72" s="95"/>
      <c r="U72" s="95"/>
      <c r="V72" s="95"/>
      <c r="W72" s="95"/>
      <c r="X72" s="95"/>
      <c r="Y72" s="95"/>
      <c r="Z72" s="95"/>
      <c r="AA72" s="95"/>
      <c r="AB72" s="95"/>
      <c r="AC72" s="90"/>
      <c r="AL72" s="72"/>
    </row>
    <row r="73" spans="1:38" hidden="1" outlineLevel="1" x14ac:dyDescent="0.25">
      <c r="A73" s="121"/>
      <c r="B73" s="118">
        <v>10</v>
      </c>
      <c r="C73" s="119">
        <f>IF(B73&lt;=$B$7,TRANSPOSE(RGGM10),)</f>
        <v>0</v>
      </c>
      <c r="D73" s="119">
        <v>0</v>
      </c>
      <c r="E73" s="119">
        <v>0</v>
      </c>
      <c r="F73" s="119">
        <v>0</v>
      </c>
      <c r="G73" s="119">
        <v>0</v>
      </c>
      <c r="H73" s="119">
        <v>0</v>
      </c>
      <c r="I73" s="119">
        <v>0</v>
      </c>
      <c r="J73" s="119">
        <v>0</v>
      </c>
      <c r="K73" s="119">
        <v>0</v>
      </c>
      <c r="L73" s="119">
        <v>0</v>
      </c>
      <c r="M73" s="118"/>
      <c r="N73" s="6"/>
      <c r="O73" s="113"/>
      <c r="P73" s="6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L73" s="72"/>
    </row>
    <row r="74" spans="1:38" hidden="1" outlineLevel="1" x14ac:dyDescent="0.25">
      <c r="A74" s="121"/>
      <c r="B74" s="118">
        <v>11</v>
      </c>
      <c r="C74" s="119">
        <f>IF(B74&lt;=$B$7,TRANSPOSE(RGGM11),)</f>
        <v>0</v>
      </c>
      <c r="D74" s="119">
        <v>0</v>
      </c>
      <c r="E74" s="119">
        <v>0</v>
      </c>
      <c r="F74" s="119">
        <v>0</v>
      </c>
      <c r="G74" s="119">
        <v>0</v>
      </c>
      <c r="H74" s="119">
        <v>0</v>
      </c>
      <c r="I74" s="119">
        <v>0</v>
      </c>
      <c r="J74" s="119">
        <v>0</v>
      </c>
      <c r="K74" s="119">
        <v>0</v>
      </c>
      <c r="L74" s="119">
        <v>0</v>
      </c>
      <c r="M74" s="118"/>
      <c r="N74" s="6"/>
      <c r="O74" s="113"/>
      <c r="P74" s="6"/>
      <c r="S74" s="123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122"/>
      <c r="AL74" s="72"/>
    </row>
    <row r="75" spans="1:38" hidden="1" outlineLevel="1" x14ac:dyDescent="0.25">
      <c r="A75" s="121"/>
      <c r="B75" s="118">
        <v>12</v>
      </c>
      <c r="C75" s="119">
        <f>IF(B75&lt;=$B$7,TRANSPOSE(RGGM12),)</f>
        <v>0</v>
      </c>
      <c r="D75" s="119">
        <v>0</v>
      </c>
      <c r="E75" s="119">
        <v>0</v>
      </c>
      <c r="F75" s="119">
        <v>0</v>
      </c>
      <c r="G75" s="119">
        <v>0</v>
      </c>
      <c r="H75" s="119">
        <v>0</v>
      </c>
      <c r="I75" s="119">
        <v>0</v>
      </c>
      <c r="J75" s="119">
        <v>0</v>
      </c>
      <c r="K75" s="119">
        <v>0</v>
      </c>
      <c r="L75" s="119">
        <v>0</v>
      </c>
      <c r="M75" s="118"/>
      <c r="N75" s="6"/>
      <c r="O75" s="113"/>
      <c r="P75" s="6"/>
      <c r="S75" s="66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22"/>
      <c r="AL75" s="72"/>
    </row>
    <row r="76" spans="1:38" hidden="1" outlineLevel="1" x14ac:dyDescent="0.25">
      <c r="A76" s="121"/>
      <c r="B76" s="118">
        <v>13</v>
      </c>
      <c r="C76" s="119">
        <f>IF(B76&lt;=$B$7,TRANSPOSE(RGGM13),)</f>
        <v>0</v>
      </c>
      <c r="D76" s="119">
        <v>0</v>
      </c>
      <c r="E76" s="119">
        <v>0</v>
      </c>
      <c r="F76" s="119">
        <v>0</v>
      </c>
      <c r="G76" s="119">
        <v>0</v>
      </c>
      <c r="H76" s="119">
        <v>0</v>
      </c>
      <c r="I76" s="119">
        <v>0</v>
      </c>
      <c r="J76" s="119">
        <v>0</v>
      </c>
      <c r="K76" s="119">
        <v>0</v>
      </c>
      <c r="L76" s="119">
        <v>0</v>
      </c>
      <c r="M76" s="118"/>
      <c r="N76" s="6"/>
      <c r="O76" s="113"/>
      <c r="P76" s="6"/>
      <c r="S76" s="66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22"/>
      <c r="AL76" s="72"/>
    </row>
    <row r="77" spans="1:38" hidden="1" outlineLevel="1" x14ac:dyDescent="0.25">
      <c r="A77" s="121"/>
      <c r="B77" s="118">
        <v>14</v>
      </c>
      <c r="C77" s="119">
        <f>IF(B77&lt;=$B$7,TRANSPOSE(RGGM14),)</f>
        <v>0</v>
      </c>
      <c r="D77" s="119">
        <v>0</v>
      </c>
      <c r="E77" s="119">
        <v>0</v>
      </c>
      <c r="F77" s="119">
        <v>0</v>
      </c>
      <c r="G77" s="119">
        <v>0</v>
      </c>
      <c r="H77" s="119">
        <v>0</v>
      </c>
      <c r="I77" s="119">
        <v>0</v>
      </c>
      <c r="J77" s="119">
        <v>0</v>
      </c>
      <c r="K77" s="119">
        <v>0</v>
      </c>
      <c r="L77" s="119">
        <v>0</v>
      </c>
      <c r="M77" s="118"/>
      <c r="N77" s="6"/>
      <c r="O77" s="113"/>
      <c r="P77" s="6"/>
      <c r="S77" s="66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22"/>
      <c r="AL77" s="72"/>
    </row>
    <row r="78" spans="1:38" hidden="1" outlineLevel="1" x14ac:dyDescent="0.25">
      <c r="A78" s="121"/>
      <c r="B78" s="118">
        <v>15</v>
      </c>
      <c r="C78" s="119">
        <f>IF(B78&lt;=$B$7,TRANSPOSE(RGGM15),)</f>
        <v>0</v>
      </c>
      <c r="D78" s="119">
        <v>0</v>
      </c>
      <c r="E78" s="119">
        <v>0</v>
      </c>
      <c r="F78" s="119">
        <v>0</v>
      </c>
      <c r="G78" s="119">
        <v>0</v>
      </c>
      <c r="H78" s="119">
        <v>0</v>
      </c>
      <c r="I78" s="119">
        <v>0</v>
      </c>
      <c r="J78" s="119">
        <v>0</v>
      </c>
      <c r="K78" s="119">
        <v>0</v>
      </c>
      <c r="L78" s="119">
        <v>0</v>
      </c>
      <c r="M78" s="118"/>
      <c r="N78" s="6"/>
      <c r="O78" s="113"/>
      <c r="P78" s="6"/>
      <c r="S78" s="66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L78" s="72"/>
    </row>
    <row r="79" spans="1:38" hidden="1" outlineLevel="1" x14ac:dyDescent="0.25">
      <c r="A79" s="121"/>
      <c r="B79" s="118">
        <v>16</v>
      </c>
      <c r="C79" s="119">
        <f>IF(B79&lt;=$B$7,TRANSPOSE(RGGM16),)</f>
        <v>0</v>
      </c>
      <c r="D79" s="119">
        <v>0</v>
      </c>
      <c r="E79" s="119">
        <v>0</v>
      </c>
      <c r="F79" s="119">
        <v>0</v>
      </c>
      <c r="G79" s="119">
        <v>0</v>
      </c>
      <c r="H79" s="119">
        <v>0</v>
      </c>
      <c r="I79" s="119">
        <v>0</v>
      </c>
      <c r="J79" s="119">
        <v>0</v>
      </c>
      <c r="K79" s="119">
        <v>0</v>
      </c>
      <c r="L79" s="119">
        <v>0</v>
      </c>
      <c r="M79" s="118"/>
      <c r="N79" s="6"/>
      <c r="O79" s="113"/>
      <c r="P79" s="6"/>
      <c r="S79" s="66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L79" s="72"/>
    </row>
    <row r="80" spans="1:38" hidden="1" outlineLevel="1" x14ac:dyDescent="0.25">
      <c r="A80" s="121"/>
      <c r="B80" s="118">
        <v>17</v>
      </c>
      <c r="C80" s="119">
        <f>IF(B80&lt;=$B$7,TRANSPOSE(RGGM17),)</f>
        <v>0</v>
      </c>
      <c r="D80" s="119">
        <v>0</v>
      </c>
      <c r="E80" s="119">
        <v>0</v>
      </c>
      <c r="F80" s="119">
        <v>0</v>
      </c>
      <c r="G80" s="119">
        <v>0</v>
      </c>
      <c r="H80" s="119">
        <v>0</v>
      </c>
      <c r="I80" s="119">
        <v>0</v>
      </c>
      <c r="J80" s="119">
        <v>0</v>
      </c>
      <c r="K80" s="119">
        <v>0</v>
      </c>
      <c r="L80" s="119">
        <v>0</v>
      </c>
      <c r="M80" s="118"/>
      <c r="N80" s="6"/>
      <c r="O80" s="113"/>
      <c r="P80" s="6"/>
      <c r="S80" s="66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L80" s="72"/>
    </row>
    <row r="81" spans="1:38" hidden="1" outlineLevel="1" x14ac:dyDescent="0.25">
      <c r="A81" s="121"/>
      <c r="B81" s="118">
        <v>18</v>
      </c>
      <c r="C81" s="119">
        <f>IF(B81&lt;=$B$7,TRANSPOSE(RGGM18),)</f>
        <v>0</v>
      </c>
      <c r="D81" s="119">
        <v>0</v>
      </c>
      <c r="E81" s="119">
        <v>0</v>
      </c>
      <c r="F81" s="119">
        <v>0</v>
      </c>
      <c r="G81" s="119">
        <v>0</v>
      </c>
      <c r="H81" s="119">
        <v>0</v>
      </c>
      <c r="I81" s="119">
        <v>0</v>
      </c>
      <c r="J81" s="119">
        <v>0</v>
      </c>
      <c r="K81" s="119">
        <v>0</v>
      </c>
      <c r="L81" s="119">
        <v>0</v>
      </c>
      <c r="M81" s="118"/>
      <c r="N81" s="6"/>
      <c r="O81" s="113"/>
      <c r="P81" s="6"/>
      <c r="S81" s="66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L81" s="72"/>
    </row>
    <row r="82" spans="1:38" hidden="1" outlineLevel="1" x14ac:dyDescent="0.25">
      <c r="A82" s="121"/>
      <c r="B82" s="118">
        <v>19</v>
      </c>
      <c r="C82" s="119">
        <f>IF(B82&lt;=$B$7,TRANSPOSE(RGGM19),)</f>
        <v>0</v>
      </c>
      <c r="D82" s="119">
        <v>0</v>
      </c>
      <c r="E82" s="119">
        <v>0</v>
      </c>
      <c r="F82" s="119">
        <v>0</v>
      </c>
      <c r="G82" s="119">
        <v>0</v>
      </c>
      <c r="H82" s="119">
        <v>0</v>
      </c>
      <c r="I82" s="119">
        <v>0</v>
      </c>
      <c r="J82" s="119">
        <v>0</v>
      </c>
      <c r="K82" s="119">
        <v>0</v>
      </c>
      <c r="L82" s="119">
        <v>0</v>
      </c>
      <c r="M82" s="118"/>
      <c r="N82" s="6"/>
      <c r="O82" s="113"/>
      <c r="P82" s="6"/>
      <c r="S82" s="66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L82" s="72"/>
    </row>
    <row r="83" spans="1:38" hidden="1" outlineLevel="1" x14ac:dyDescent="0.25">
      <c r="A83" s="121"/>
      <c r="B83" s="118">
        <v>20</v>
      </c>
      <c r="C83" s="119">
        <f>IF(B83&lt;=$B$7,TRANSPOSE(RGGM20),)</f>
        <v>0</v>
      </c>
      <c r="D83" s="119">
        <v>0</v>
      </c>
      <c r="E83" s="119">
        <v>0</v>
      </c>
      <c r="F83" s="119">
        <v>0</v>
      </c>
      <c r="G83" s="119">
        <v>0</v>
      </c>
      <c r="H83" s="119">
        <v>0</v>
      </c>
      <c r="I83" s="119">
        <v>0</v>
      </c>
      <c r="J83" s="119">
        <v>0</v>
      </c>
      <c r="K83" s="119">
        <v>0</v>
      </c>
      <c r="L83" s="119">
        <v>0</v>
      </c>
      <c r="M83" s="118"/>
      <c r="N83" s="6"/>
      <c r="O83" s="113"/>
      <c r="P83" s="6"/>
      <c r="S83" s="66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L83" s="72"/>
    </row>
    <row r="84" spans="1:38" ht="13" hidden="1" outlineLevel="1" x14ac:dyDescent="0.3">
      <c r="A84" s="121"/>
      <c r="B84" s="27" t="s">
        <v>53</v>
      </c>
      <c r="C84" s="30" t="e">
        <f t="shared" ref="C84:L84" si="21">SUM(C64:C83)/$B$7</f>
        <v>#VALUE!</v>
      </c>
      <c r="D84" s="30">
        <f t="shared" si="21"/>
        <v>2.8571428571428553E-2</v>
      </c>
      <c r="E84" s="30">
        <f t="shared" si="21"/>
        <v>8.5714285714285687E-2</v>
      </c>
      <c r="F84" s="30">
        <f t="shared" si="21"/>
        <v>0</v>
      </c>
      <c r="G84" s="30">
        <f t="shared" si="21"/>
        <v>0</v>
      </c>
      <c r="H84" s="30">
        <f t="shared" si="21"/>
        <v>0</v>
      </c>
      <c r="I84" s="30">
        <f t="shared" si="21"/>
        <v>0</v>
      </c>
      <c r="J84" s="30">
        <f t="shared" si="21"/>
        <v>0</v>
      </c>
      <c r="K84" s="30">
        <f t="shared" si="21"/>
        <v>0</v>
      </c>
      <c r="L84" s="30">
        <f t="shared" si="21"/>
        <v>0</v>
      </c>
      <c r="M84" s="124" t="e">
        <f>EXP(SUM(M85:M104)/$B$7)</f>
        <v>#VALUE!</v>
      </c>
      <c r="N84" s="112" t="s">
        <v>54</v>
      </c>
      <c r="O84" s="125" t="s">
        <v>55</v>
      </c>
      <c r="P84" s="30"/>
      <c r="S84" s="66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L84" s="72"/>
    </row>
    <row r="85" spans="1:38" ht="13" hidden="1" outlineLevel="1" x14ac:dyDescent="0.3">
      <c r="A85" s="117" t="s">
        <v>56</v>
      </c>
      <c r="B85" s="118">
        <v>1</v>
      </c>
      <c r="C85" s="126">
        <f t="shared" ref="C85:L85" si="22">IF(AND(C64&gt;0,$B85&lt;=$B$7),-C64*LN(C64),0)</f>
        <v>0.36312765445165868</v>
      </c>
      <c r="D85" s="126">
        <f t="shared" si="22"/>
        <v>0.27798716415075897</v>
      </c>
      <c r="E85" s="126">
        <f t="shared" si="22"/>
        <v>0.36312765445165868</v>
      </c>
      <c r="F85" s="126">
        <f t="shared" si="22"/>
        <v>0</v>
      </c>
      <c r="G85" s="126">
        <f t="shared" si="22"/>
        <v>0</v>
      </c>
      <c r="H85" s="126">
        <f t="shared" si="22"/>
        <v>0</v>
      </c>
      <c r="I85" s="126">
        <f t="shared" si="22"/>
        <v>0</v>
      </c>
      <c r="J85" s="126">
        <f t="shared" si="22"/>
        <v>0</v>
      </c>
      <c r="K85" s="126">
        <f t="shared" si="22"/>
        <v>0</v>
      </c>
      <c r="L85" s="126">
        <f t="shared" si="22"/>
        <v>0</v>
      </c>
      <c r="M85" s="30">
        <f t="shared" ref="M85:M104" si="23">SUM(C85:L85)</f>
        <v>1.0042424730540762</v>
      </c>
      <c r="N85" s="6"/>
      <c r="O85" s="127">
        <f t="shared" ref="O85:O104" si="24">EXP(M85)</f>
        <v>2.729838563103602</v>
      </c>
      <c r="P85" s="128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L85" s="72"/>
    </row>
    <row r="86" spans="1:38" ht="13" hidden="1" outlineLevel="1" x14ac:dyDescent="0.3">
      <c r="A86" s="117" t="s">
        <v>57</v>
      </c>
      <c r="B86" s="118">
        <v>2</v>
      </c>
      <c r="C86" s="126" t="e">
        <f t="shared" ref="C86:L86" si="25">IF(AND(C65&gt;0,$B86&lt;=$B$7),-C65*LN(C65),0)</f>
        <v>#VALUE!</v>
      </c>
      <c r="D86" s="126">
        <f t="shared" si="25"/>
        <v>0</v>
      </c>
      <c r="E86" s="126">
        <f t="shared" si="25"/>
        <v>0</v>
      </c>
      <c r="F86" s="126">
        <f t="shared" si="25"/>
        <v>0</v>
      </c>
      <c r="G86" s="126">
        <f t="shared" si="25"/>
        <v>0</v>
      </c>
      <c r="H86" s="126">
        <f t="shared" si="25"/>
        <v>0</v>
      </c>
      <c r="I86" s="126">
        <f t="shared" si="25"/>
        <v>0</v>
      </c>
      <c r="J86" s="126">
        <f t="shared" si="25"/>
        <v>0</v>
      </c>
      <c r="K86" s="126">
        <f t="shared" si="25"/>
        <v>0</v>
      </c>
      <c r="L86" s="126">
        <f t="shared" si="25"/>
        <v>0</v>
      </c>
      <c r="M86" s="30" t="e">
        <f t="shared" si="23"/>
        <v>#VALUE!</v>
      </c>
      <c r="N86" s="6"/>
      <c r="O86" s="127" t="e">
        <f t="shared" si="24"/>
        <v>#VALUE!</v>
      </c>
      <c r="P86" s="128"/>
      <c r="T86" s="129"/>
      <c r="U86" s="129"/>
      <c r="V86" s="129"/>
      <c r="W86" s="129"/>
      <c r="X86" s="129"/>
      <c r="AL86" s="72"/>
    </row>
    <row r="87" spans="1:38" hidden="1" outlineLevel="1" x14ac:dyDescent="0.25">
      <c r="A87" s="121"/>
      <c r="B87" s="118">
        <v>3</v>
      </c>
      <c r="C87" s="126" t="e">
        <f t="shared" ref="C87:L87" si="26">IF(AND(C66&gt;0,$B87&lt;=$B$7),-C66*LN(C66),0)</f>
        <v>#VALUE!</v>
      </c>
      <c r="D87" s="126">
        <f t="shared" si="26"/>
        <v>0</v>
      </c>
      <c r="E87" s="126">
        <f t="shared" si="26"/>
        <v>0</v>
      </c>
      <c r="F87" s="126">
        <f t="shared" si="26"/>
        <v>0</v>
      </c>
      <c r="G87" s="126">
        <f t="shared" si="26"/>
        <v>0</v>
      </c>
      <c r="H87" s="126">
        <f t="shared" si="26"/>
        <v>0</v>
      </c>
      <c r="I87" s="126">
        <f t="shared" si="26"/>
        <v>0</v>
      </c>
      <c r="J87" s="126">
        <f t="shared" si="26"/>
        <v>0</v>
      </c>
      <c r="K87" s="126">
        <f t="shared" si="26"/>
        <v>0</v>
      </c>
      <c r="L87" s="126">
        <f t="shared" si="26"/>
        <v>0</v>
      </c>
      <c r="M87" s="30" t="e">
        <f t="shared" si="23"/>
        <v>#VALUE!</v>
      </c>
      <c r="N87" s="6"/>
      <c r="O87" s="127" t="e">
        <f t="shared" si="24"/>
        <v>#VALUE!</v>
      </c>
      <c r="P87" s="128"/>
      <c r="T87" s="129"/>
      <c r="U87" s="129"/>
      <c r="V87" s="129"/>
      <c r="W87" s="129"/>
      <c r="X87" s="129"/>
      <c r="AL87" s="72"/>
    </row>
    <row r="88" spans="1:38" ht="13" hidden="1" outlineLevel="1" x14ac:dyDescent="0.3">
      <c r="A88" s="117" t="s">
        <v>58</v>
      </c>
      <c r="B88" s="118">
        <v>4</v>
      </c>
      <c r="C88" s="126" t="e">
        <f t="shared" ref="C88:L88" si="27">IF(AND(C67&gt;0,$B88&lt;=$B$7),-C67*LN(C67),0)</f>
        <v>#VALUE!</v>
      </c>
      <c r="D88" s="126">
        <f t="shared" si="27"/>
        <v>0</v>
      </c>
      <c r="E88" s="126">
        <f t="shared" si="27"/>
        <v>0</v>
      </c>
      <c r="F88" s="126">
        <f t="shared" si="27"/>
        <v>0</v>
      </c>
      <c r="G88" s="126">
        <f t="shared" si="27"/>
        <v>0</v>
      </c>
      <c r="H88" s="126">
        <f t="shared" si="27"/>
        <v>0</v>
      </c>
      <c r="I88" s="126">
        <f t="shared" si="27"/>
        <v>0</v>
      </c>
      <c r="J88" s="126">
        <f t="shared" si="27"/>
        <v>0</v>
      </c>
      <c r="K88" s="126">
        <f t="shared" si="27"/>
        <v>0</v>
      </c>
      <c r="L88" s="126">
        <f t="shared" si="27"/>
        <v>0</v>
      </c>
      <c r="M88" s="30" t="e">
        <f t="shared" si="23"/>
        <v>#VALUE!</v>
      </c>
      <c r="N88" s="6"/>
      <c r="O88" s="127" t="e">
        <f t="shared" si="24"/>
        <v>#VALUE!</v>
      </c>
      <c r="P88" s="128"/>
      <c r="T88" s="129"/>
      <c r="U88" s="129"/>
      <c r="V88" s="129"/>
      <c r="W88" s="129"/>
      <c r="X88" s="129"/>
      <c r="AL88" s="72"/>
    </row>
    <row r="89" spans="1:38" ht="13" hidden="1" outlineLevel="1" x14ac:dyDescent="0.25">
      <c r="A89" s="130">
        <f>EXP((-9/(B5+8)*LN(9/(B5+8))-(B5-1)*(1/(B5+8)*LN(1/(B5+8)))))</f>
        <v>1.822421430545617</v>
      </c>
      <c r="B89" s="118">
        <v>5</v>
      </c>
      <c r="C89" s="126" t="e">
        <f t="shared" ref="C89:L89" si="28">IF(AND(C68&gt;0,$B89&lt;=$B$7),-C68*LN(C68),0)</f>
        <v>#VALUE!</v>
      </c>
      <c r="D89" s="126">
        <f t="shared" si="28"/>
        <v>0</v>
      </c>
      <c r="E89" s="126">
        <f t="shared" si="28"/>
        <v>0</v>
      </c>
      <c r="F89" s="126">
        <f t="shared" si="28"/>
        <v>0</v>
      </c>
      <c r="G89" s="126">
        <f t="shared" si="28"/>
        <v>0</v>
      </c>
      <c r="H89" s="126">
        <f t="shared" si="28"/>
        <v>0</v>
      </c>
      <c r="I89" s="126">
        <f t="shared" si="28"/>
        <v>0</v>
      </c>
      <c r="J89" s="126">
        <f t="shared" si="28"/>
        <v>0</v>
      </c>
      <c r="K89" s="126">
        <f t="shared" si="28"/>
        <v>0</v>
      </c>
      <c r="L89" s="126">
        <f t="shared" si="28"/>
        <v>0</v>
      </c>
      <c r="M89" s="30" t="e">
        <f t="shared" si="23"/>
        <v>#VALUE!</v>
      </c>
      <c r="N89" s="6"/>
      <c r="O89" s="127" t="e">
        <f t="shared" si="24"/>
        <v>#VALUE!</v>
      </c>
      <c r="P89" s="128"/>
      <c r="T89" s="129"/>
      <c r="U89" s="129"/>
      <c r="V89" s="129"/>
      <c r="W89" s="129"/>
      <c r="X89" s="129"/>
      <c r="AL89" s="72"/>
    </row>
    <row r="90" spans="1:38" ht="13" hidden="1" outlineLevel="1" x14ac:dyDescent="0.25">
      <c r="A90" s="130">
        <f>EXP((B5-B7)*(-1/(B5+8)*LN(1/(B5+8)))+B7*(-(B7+8)/(B5+8)/B7*LN((B7+8)/(B5+8)/B7)))</f>
        <v>3.5560645650216323</v>
      </c>
      <c r="B90" s="118">
        <v>6</v>
      </c>
      <c r="C90" s="126">
        <f t="shared" ref="C90:L90" si="29">IF(AND(C69&gt;0,$B90&lt;=$B$7),-C69*LN(C69),0)</f>
        <v>0</v>
      </c>
      <c r="D90" s="126">
        <f t="shared" si="29"/>
        <v>0</v>
      </c>
      <c r="E90" s="126">
        <f t="shared" si="29"/>
        <v>0</v>
      </c>
      <c r="F90" s="126">
        <f t="shared" si="29"/>
        <v>0</v>
      </c>
      <c r="G90" s="126">
        <f t="shared" si="29"/>
        <v>0</v>
      </c>
      <c r="H90" s="126">
        <f t="shared" si="29"/>
        <v>0</v>
      </c>
      <c r="I90" s="126">
        <f t="shared" si="29"/>
        <v>0</v>
      </c>
      <c r="J90" s="126">
        <f t="shared" si="29"/>
        <v>0</v>
      </c>
      <c r="K90" s="126">
        <f t="shared" si="29"/>
        <v>0</v>
      </c>
      <c r="L90" s="126">
        <f t="shared" si="29"/>
        <v>0</v>
      </c>
      <c r="M90" s="30">
        <f t="shared" si="23"/>
        <v>0</v>
      </c>
      <c r="N90" s="6"/>
      <c r="O90" s="127">
        <f t="shared" si="24"/>
        <v>1</v>
      </c>
      <c r="P90" s="128"/>
      <c r="T90" s="129"/>
      <c r="U90" s="129"/>
      <c r="V90" s="129"/>
      <c r="W90" s="129"/>
      <c r="X90" s="129"/>
      <c r="AL90" s="72"/>
    </row>
    <row r="91" spans="1:38" ht="13" hidden="1" outlineLevel="1" x14ac:dyDescent="0.25">
      <c r="A91" s="131">
        <f>A92/A89</f>
        <v>1.6461615023380329</v>
      </c>
      <c r="B91" s="118">
        <v>7</v>
      </c>
      <c r="C91" s="126">
        <f t="shared" ref="C91:L91" si="30">IF(AND(C70&gt;0,$B91&lt;=$B$7),-C70*LN(C70),0)</f>
        <v>0</v>
      </c>
      <c r="D91" s="126">
        <f t="shared" si="30"/>
        <v>0</v>
      </c>
      <c r="E91" s="126">
        <f t="shared" si="30"/>
        <v>0</v>
      </c>
      <c r="F91" s="126">
        <f t="shared" si="30"/>
        <v>0</v>
      </c>
      <c r="G91" s="126">
        <f t="shared" si="30"/>
        <v>0</v>
      </c>
      <c r="H91" s="126">
        <f t="shared" si="30"/>
        <v>0</v>
      </c>
      <c r="I91" s="126">
        <f t="shared" si="30"/>
        <v>0</v>
      </c>
      <c r="J91" s="126">
        <f t="shared" si="30"/>
        <v>0</v>
      </c>
      <c r="K91" s="126">
        <f t="shared" si="30"/>
        <v>0</v>
      </c>
      <c r="L91" s="126">
        <f t="shared" si="30"/>
        <v>0</v>
      </c>
      <c r="M91" s="30">
        <f t="shared" si="23"/>
        <v>0</v>
      </c>
      <c r="N91" s="6"/>
      <c r="O91" s="127">
        <f t="shared" si="24"/>
        <v>1</v>
      </c>
      <c r="P91" s="128"/>
      <c r="T91" s="129"/>
      <c r="U91" s="129"/>
      <c r="V91" s="129"/>
      <c r="W91" s="129"/>
      <c r="X91" s="129"/>
      <c r="AL91" s="72"/>
    </row>
    <row r="92" spans="1:38" ht="13" hidden="1" outlineLevel="1" x14ac:dyDescent="0.25">
      <c r="A92" s="131">
        <f>B5</f>
        <v>3</v>
      </c>
      <c r="B92" s="118">
        <v>8</v>
      </c>
      <c r="C92" s="126">
        <f t="shared" ref="C92:L92" si="31">IF(AND(C71&gt;0,$B92&lt;=$B$7),-C71*LN(C71),0)</f>
        <v>0</v>
      </c>
      <c r="D92" s="126">
        <f t="shared" si="31"/>
        <v>0</v>
      </c>
      <c r="E92" s="126">
        <f t="shared" si="31"/>
        <v>0</v>
      </c>
      <c r="F92" s="126">
        <f t="shared" si="31"/>
        <v>0</v>
      </c>
      <c r="G92" s="126">
        <f t="shared" si="31"/>
        <v>0</v>
      </c>
      <c r="H92" s="126">
        <f t="shared" si="31"/>
        <v>0</v>
      </c>
      <c r="I92" s="126">
        <f t="shared" si="31"/>
        <v>0</v>
      </c>
      <c r="J92" s="126">
        <f t="shared" si="31"/>
        <v>0</v>
      </c>
      <c r="K92" s="126">
        <f t="shared" si="31"/>
        <v>0</v>
      </c>
      <c r="L92" s="126">
        <f t="shared" si="31"/>
        <v>0</v>
      </c>
      <c r="M92" s="30">
        <f t="shared" si="23"/>
        <v>0</v>
      </c>
      <c r="N92" s="6"/>
      <c r="O92" s="127">
        <f t="shared" si="24"/>
        <v>1</v>
      </c>
      <c r="P92" s="128"/>
      <c r="T92" s="129"/>
      <c r="U92" s="129"/>
      <c r="V92" s="129"/>
      <c r="W92" s="129"/>
      <c r="X92" s="129"/>
      <c r="AL92" s="72"/>
    </row>
    <row r="93" spans="1:38" hidden="1" outlineLevel="1" x14ac:dyDescent="0.25">
      <c r="A93" s="121"/>
      <c r="B93" s="118">
        <v>9</v>
      </c>
      <c r="C93" s="126">
        <f t="shared" ref="C93:L93" si="32">IF(AND(C72&gt;0,$B93&lt;=$B$7),-C72*LN(C72),0)</f>
        <v>0</v>
      </c>
      <c r="D93" s="126">
        <f t="shared" si="32"/>
        <v>0</v>
      </c>
      <c r="E93" s="126">
        <f t="shared" si="32"/>
        <v>0</v>
      </c>
      <c r="F93" s="126">
        <f t="shared" si="32"/>
        <v>0</v>
      </c>
      <c r="G93" s="126">
        <f t="shared" si="32"/>
        <v>0</v>
      </c>
      <c r="H93" s="126">
        <f t="shared" si="32"/>
        <v>0</v>
      </c>
      <c r="I93" s="126">
        <f t="shared" si="32"/>
        <v>0</v>
      </c>
      <c r="J93" s="126">
        <f t="shared" si="32"/>
        <v>0</v>
      </c>
      <c r="K93" s="126">
        <f t="shared" si="32"/>
        <v>0</v>
      </c>
      <c r="L93" s="126">
        <f t="shared" si="32"/>
        <v>0</v>
      </c>
      <c r="M93" s="30">
        <f t="shared" si="23"/>
        <v>0</v>
      </c>
      <c r="N93" s="6"/>
      <c r="O93" s="127">
        <f t="shared" si="24"/>
        <v>1</v>
      </c>
      <c r="P93" s="128"/>
      <c r="T93" s="129"/>
      <c r="U93" s="129"/>
      <c r="V93" s="129"/>
      <c r="W93" s="129"/>
      <c r="X93" s="129"/>
      <c r="AL93" s="72"/>
    </row>
    <row r="94" spans="1:38" hidden="1" outlineLevel="1" x14ac:dyDescent="0.25">
      <c r="A94" s="121"/>
      <c r="B94" s="118">
        <v>10</v>
      </c>
      <c r="C94" s="126">
        <f t="shared" ref="C94:L94" si="33">IF(AND(C73&gt;0,$B94&lt;=$B$7),-C73*LN(C73),0)</f>
        <v>0</v>
      </c>
      <c r="D94" s="126">
        <f t="shared" si="33"/>
        <v>0</v>
      </c>
      <c r="E94" s="126">
        <f t="shared" si="33"/>
        <v>0</v>
      </c>
      <c r="F94" s="126">
        <f t="shared" si="33"/>
        <v>0</v>
      </c>
      <c r="G94" s="126">
        <f t="shared" si="33"/>
        <v>0</v>
      </c>
      <c r="H94" s="126">
        <f t="shared" si="33"/>
        <v>0</v>
      </c>
      <c r="I94" s="126">
        <f t="shared" si="33"/>
        <v>0</v>
      </c>
      <c r="J94" s="126">
        <f t="shared" si="33"/>
        <v>0</v>
      </c>
      <c r="K94" s="126">
        <f t="shared" si="33"/>
        <v>0</v>
      </c>
      <c r="L94" s="126">
        <f t="shared" si="33"/>
        <v>0</v>
      </c>
      <c r="M94" s="30">
        <f t="shared" si="23"/>
        <v>0</v>
      </c>
      <c r="N94" s="6"/>
      <c r="O94" s="127">
        <f t="shared" si="24"/>
        <v>1</v>
      </c>
      <c r="P94" s="128"/>
      <c r="T94" s="129"/>
      <c r="U94" s="129"/>
      <c r="V94" s="129"/>
      <c r="W94" s="129"/>
      <c r="X94" s="129"/>
      <c r="AL94" s="72"/>
    </row>
    <row r="95" spans="1:38" hidden="1" outlineLevel="1" x14ac:dyDescent="0.25">
      <c r="A95" s="121"/>
      <c r="B95" s="118">
        <v>11</v>
      </c>
      <c r="C95" s="126">
        <f t="shared" ref="C95:L95" si="34">IF(AND(C74&gt;0,$B95&lt;=$B$7),-C74*LN(C74),0)</f>
        <v>0</v>
      </c>
      <c r="D95" s="126">
        <f t="shared" si="34"/>
        <v>0</v>
      </c>
      <c r="E95" s="126">
        <f t="shared" si="34"/>
        <v>0</v>
      </c>
      <c r="F95" s="126">
        <f t="shared" si="34"/>
        <v>0</v>
      </c>
      <c r="G95" s="126">
        <f t="shared" si="34"/>
        <v>0</v>
      </c>
      <c r="H95" s="126">
        <f t="shared" si="34"/>
        <v>0</v>
      </c>
      <c r="I95" s="126">
        <f t="shared" si="34"/>
        <v>0</v>
      </c>
      <c r="J95" s="126">
        <f t="shared" si="34"/>
        <v>0</v>
      </c>
      <c r="K95" s="126">
        <f t="shared" si="34"/>
        <v>0</v>
      </c>
      <c r="L95" s="126">
        <f t="shared" si="34"/>
        <v>0</v>
      </c>
      <c r="M95" s="30">
        <f t="shared" si="23"/>
        <v>0</v>
      </c>
      <c r="N95" s="6"/>
      <c r="O95" s="127">
        <f t="shared" si="24"/>
        <v>1</v>
      </c>
      <c r="P95" s="128"/>
      <c r="T95" s="129"/>
      <c r="U95" s="129"/>
      <c r="V95" s="129"/>
      <c r="W95" s="129"/>
      <c r="X95" s="129"/>
      <c r="AL95" s="72"/>
    </row>
    <row r="96" spans="1:38" hidden="1" outlineLevel="1" x14ac:dyDescent="0.25">
      <c r="A96" s="121"/>
      <c r="B96" s="118">
        <v>12</v>
      </c>
      <c r="C96" s="126">
        <f t="shared" ref="C96:L96" si="35">IF(AND(C75&gt;0,$B96&lt;=$B$7),-C75*LN(C75),0)</f>
        <v>0</v>
      </c>
      <c r="D96" s="126">
        <f t="shared" si="35"/>
        <v>0</v>
      </c>
      <c r="E96" s="126">
        <f t="shared" si="35"/>
        <v>0</v>
      </c>
      <c r="F96" s="126">
        <f t="shared" si="35"/>
        <v>0</v>
      </c>
      <c r="G96" s="126">
        <f t="shared" si="35"/>
        <v>0</v>
      </c>
      <c r="H96" s="126">
        <f t="shared" si="35"/>
        <v>0</v>
      </c>
      <c r="I96" s="126">
        <f t="shared" si="35"/>
        <v>0</v>
      </c>
      <c r="J96" s="126">
        <f t="shared" si="35"/>
        <v>0</v>
      </c>
      <c r="K96" s="126">
        <f t="shared" si="35"/>
        <v>0</v>
      </c>
      <c r="L96" s="126">
        <f t="shared" si="35"/>
        <v>0</v>
      </c>
      <c r="M96" s="30">
        <f t="shared" si="23"/>
        <v>0</v>
      </c>
      <c r="N96" s="6"/>
      <c r="O96" s="127">
        <f t="shared" si="24"/>
        <v>1</v>
      </c>
      <c r="P96" s="128"/>
      <c r="T96" s="129"/>
      <c r="U96" s="129"/>
      <c r="V96" s="129"/>
      <c r="W96" s="129"/>
      <c r="X96" s="129"/>
      <c r="AL96" s="72"/>
    </row>
    <row r="97" spans="1:38" hidden="1" outlineLevel="1" x14ac:dyDescent="0.25">
      <c r="A97" s="121"/>
      <c r="B97" s="118">
        <v>13</v>
      </c>
      <c r="C97" s="126">
        <f t="shared" ref="C97:L97" si="36">IF(AND(C76&gt;0,$B97&lt;=$B$7),-C76*LN(C76),0)</f>
        <v>0</v>
      </c>
      <c r="D97" s="126">
        <f t="shared" si="36"/>
        <v>0</v>
      </c>
      <c r="E97" s="126">
        <f t="shared" si="36"/>
        <v>0</v>
      </c>
      <c r="F97" s="126">
        <f t="shared" si="36"/>
        <v>0</v>
      </c>
      <c r="G97" s="126">
        <f t="shared" si="36"/>
        <v>0</v>
      </c>
      <c r="H97" s="126">
        <f t="shared" si="36"/>
        <v>0</v>
      </c>
      <c r="I97" s="126">
        <f t="shared" si="36"/>
        <v>0</v>
      </c>
      <c r="J97" s="126">
        <f t="shared" si="36"/>
        <v>0</v>
      </c>
      <c r="K97" s="126">
        <f t="shared" si="36"/>
        <v>0</v>
      </c>
      <c r="L97" s="126">
        <f t="shared" si="36"/>
        <v>0</v>
      </c>
      <c r="M97" s="30">
        <f t="shared" si="23"/>
        <v>0</v>
      </c>
      <c r="N97" s="6"/>
      <c r="O97" s="127">
        <f t="shared" si="24"/>
        <v>1</v>
      </c>
      <c r="P97" s="128"/>
      <c r="T97" s="129"/>
      <c r="U97" s="129"/>
      <c r="V97" s="129"/>
      <c r="W97" s="129"/>
      <c r="X97" s="129"/>
      <c r="AL97" s="72"/>
    </row>
    <row r="98" spans="1:38" hidden="1" outlineLevel="1" x14ac:dyDescent="0.25">
      <c r="A98" s="121"/>
      <c r="B98" s="118">
        <v>14</v>
      </c>
      <c r="C98" s="126">
        <f t="shared" ref="C98:L98" si="37">IF(AND(C77&gt;0,$B98&lt;=$B$7),-C77*LN(C77),0)</f>
        <v>0</v>
      </c>
      <c r="D98" s="126">
        <f t="shared" si="37"/>
        <v>0</v>
      </c>
      <c r="E98" s="126">
        <f t="shared" si="37"/>
        <v>0</v>
      </c>
      <c r="F98" s="126">
        <f t="shared" si="37"/>
        <v>0</v>
      </c>
      <c r="G98" s="126">
        <f t="shared" si="37"/>
        <v>0</v>
      </c>
      <c r="H98" s="126">
        <f t="shared" si="37"/>
        <v>0</v>
      </c>
      <c r="I98" s="126">
        <f t="shared" si="37"/>
        <v>0</v>
      </c>
      <c r="J98" s="126">
        <f t="shared" si="37"/>
        <v>0</v>
      </c>
      <c r="K98" s="126">
        <f t="shared" si="37"/>
        <v>0</v>
      </c>
      <c r="L98" s="126">
        <f t="shared" si="37"/>
        <v>0</v>
      </c>
      <c r="M98" s="30">
        <f t="shared" si="23"/>
        <v>0</v>
      </c>
      <c r="N98" s="6"/>
      <c r="O98" s="127">
        <f t="shared" si="24"/>
        <v>1</v>
      </c>
      <c r="P98" s="128"/>
      <c r="T98" s="129"/>
      <c r="U98" s="129"/>
      <c r="V98" s="129"/>
      <c r="W98" s="129"/>
      <c r="X98" s="129"/>
      <c r="AL98" s="72"/>
    </row>
    <row r="99" spans="1:38" hidden="1" outlineLevel="1" x14ac:dyDescent="0.25">
      <c r="A99" s="121"/>
      <c r="B99" s="118">
        <v>15</v>
      </c>
      <c r="C99" s="126">
        <f t="shared" ref="C99:L99" si="38">IF(AND(C78&gt;0,$B99&lt;=$B$7),-C78*LN(C78),0)</f>
        <v>0</v>
      </c>
      <c r="D99" s="126">
        <f t="shared" si="38"/>
        <v>0</v>
      </c>
      <c r="E99" s="126">
        <f t="shared" si="38"/>
        <v>0</v>
      </c>
      <c r="F99" s="126">
        <f t="shared" si="38"/>
        <v>0</v>
      </c>
      <c r="G99" s="126">
        <f t="shared" si="38"/>
        <v>0</v>
      </c>
      <c r="H99" s="126">
        <f t="shared" si="38"/>
        <v>0</v>
      </c>
      <c r="I99" s="126">
        <f t="shared" si="38"/>
        <v>0</v>
      </c>
      <c r="J99" s="126">
        <f t="shared" si="38"/>
        <v>0</v>
      </c>
      <c r="K99" s="126">
        <f t="shared" si="38"/>
        <v>0</v>
      </c>
      <c r="L99" s="126">
        <f t="shared" si="38"/>
        <v>0</v>
      </c>
      <c r="M99" s="30">
        <f t="shared" si="23"/>
        <v>0</v>
      </c>
      <c r="N99" s="6"/>
      <c r="O99" s="127">
        <f t="shared" si="24"/>
        <v>1</v>
      </c>
      <c r="P99" s="128"/>
      <c r="T99" s="129"/>
      <c r="U99" s="129"/>
      <c r="V99" s="129"/>
      <c r="W99" s="129"/>
      <c r="X99" s="129"/>
      <c r="AL99" s="72"/>
    </row>
    <row r="100" spans="1:38" hidden="1" outlineLevel="1" x14ac:dyDescent="0.25">
      <c r="A100" s="121"/>
      <c r="B100" s="118">
        <v>16</v>
      </c>
      <c r="C100" s="126">
        <f t="shared" ref="C100:L100" si="39">IF(AND(C79&gt;0,$B100&lt;=$B$7),-C79*LN(C79),0)</f>
        <v>0</v>
      </c>
      <c r="D100" s="126">
        <f t="shared" si="39"/>
        <v>0</v>
      </c>
      <c r="E100" s="126">
        <f t="shared" si="39"/>
        <v>0</v>
      </c>
      <c r="F100" s="126">
        <f t="shared" si="39"/>
        <v>0</v>
      </c>
      <c r="G100" s="126">
        <f t="shared" si="39"/>
        <v>0</v>
      </c>
      <c r="H100" s="126">
        <f t="shared" si="39"/>
        <v>0</v>
      </c>
      <c r="I100" s="126">
        <f t="shared" si="39"/>
        <v>0</v>
      </c>
      <c r="J100" s="126">
        <f t="shared" si="39"/>
        <v>0</v>
      </c>
      <c r="K100" s="126">
        <f t="shared" si="39"/>
        <v>0</v>
      </c>
      <c r="L100" s="126">
        <f t="shared" si="39"/>
        <v>0</v>
      </c>
      <c r="M100" s="30">
        <f t="shared" si="23"/>
        <v>0</v>
      </c>
      <c r="N100" s="6"/>
      <c r="O100" s="127">
        <f t="shared" si="24"/>
        <v>1</v>
      </c>
      <c r="P100" s="128"/>
      <c r="T100" s="129"/>
      <c r="U100" s="129"/>
      <c r="V100" s="129"/>
      <c r="W100" s="129"/>
      <c r="X100" s="129"/>
      <c r="AL100" s="72"/>
    </row>
    <row r="101" spans="1:38" hidden="1" outlineLevel="1" x14ac:dyDescent="0.25">
      <c r="A101" s="121"/>
      <c r="B101" s="118">
        <v>17</v>
      </c>
      <c r="C101" s="126">
        <f t="shared" ref="C101:L101" si="40">IF(AND(C80&gt;0,$B101&lt;=$B$7),-C80*LN(C80),0)</f>
        <v>0</v>
      </c>
      <c r="D101" s="126">
        <f t="shared" si="40"/>
        <v>0</v>
      </c>
      <c r="E101" s="126">
        <f t="shared" si="40"/>
        <v>0</v>
      </c>
      <c r="F101" s="126">
        <f t="shared" si="40"/>
        <v>0</v>
      </c>
      <c r="G101" s="126">
        <f t="shared" si="40"/>
        <v>0</v>
      </c>
      <c r="H101" s="126">
        <f t="shared" si="40"/>
        <v>0</v>
      </c>
      <c r="I101" s="126">
        <f t="shared" si="40"/>
        <v>0</v>
      </c>
      <c r="J101" s="126">
        <f t="shared" si="40"/>
        <v>0</v>
      </c>
      <c r="K101" s="126">
        <f t="shared" si="40"/>
        <v>0</v>
      </c>
      <c r="L101" s="126">
        <f t="shared" si="40"/>
        <v>0</v>
      </c>
      <c r="M101" s="30">
        <f t="shared" si="23"/>
        <v>0</v>
      </c>
      <c r="N101" s="6"/>
      <c r="O101" s="127">
        <f t="shared" si="24"/>
        <v>1</v>
      </c>
      <c r="P101" s="128"/>
      <c r="T101" s="129"/>
      <c r="U101" s="129"/>
      <c r="V101" s="129"/>
      <c r="W101" s="129"/>
      <c r="X101" s="129"/>
      <c r="AL101" s="72"/>
    </row>
    <row r="102" spans="1:38" hidden="1" outlineLevel="1" x14ac:dyDescent="0.25">
      <c r="A102" s="121"/>
      <c r="B102" s="118">
        <v>18</v>
      </c>
      <c r="C102" s="126">
        <f t="shared" ref="C102:L102" si="41">IF(AND(C81&gt;0,$B102&lt;=$B$7),-C81*LN(C81),0)</f>
        <v>0</v>
      </c>
      <c r="D102" s="126">
        <f t="shared" si="41"/>
        <v>0</v>
      </c>
      <c r="E102" s="126">
        <f t="shared" si="41"/>
        <v>0</v>
      </c>
      <c r="F102" s="126">
        <f t="shared" si="41"/>
        <v>0</v>
      </c>
      <c r="G102" s="126">
        <f t="shared" si="41"/>
        <v>0</v>
      </c>
      <c r="H102" s="126">
        <f t="shared" si="41"/>
        <v>0</v>
      </c>
      <c r="I102" s="126">
        <f t="shared" si="41"/>
        <v>0</v>
      </c>
      <c r="J102" s="126">
        <f t="shared" si="41"/>
        <v>0</v>
      </c>
      <c r="K102" s="126">
        <f t="shared" si="41"/>
        <v>0</v>
      </c>
      <c r="L102" s="126">
        <f t="shared" si="41"/>
        <v>0</v>
      </c>
      <c r="M102" s="30">
        <f t="shared" si="23"/>
        <v>0</v>
      </c>
      <c r="N102" s="6"/>
      <c r="O102" s="127">
        <f t="shared" si="24"/>
        <v>1</v>
      </c>
      <c r="P102" s="128"/>
      <c r="T102" s="129"/>
      <c r="U102" s="129"/>
      <c r="V102" s="129"/>
      <c r="W102" s="129"/>
      <c r="X102" s="129"/>
      <c r="AL102" s="72"/>
    </row>
    <row r="103" spans="1:38" hidden="1" outlineLevel="1" x14ac:dyDescent="0.25">
      <c r="A103" s="121"/>
      <c r="B103" s="118">
        <v>19</v>
      </c>
      <c r="C103" s="126">
        <f t="shared" ref="C103:L103" si="42">IF(AND(C82&gt;0,$B103&lt;=$B$7),-C82*LN(C82),0)</f>
        <v>0</v>
      </c>
      <c r="D103" s="126">
        <f t="shared" si="42"/>
        <v>0</v>
      </c>
      <c r="E103" s="126">
        <f t="shared" si="42"/>
        <v>0</v>
      </c>
      <c r="F103" s="126">
        <f t="shared" si="42"/>
        <v>0</v>
      </c>
      <c r="G103" s="126">
        <f t="shared" si="42"/>
        <v>0</v>
      </c>
      <c r="H103" s="126">
        <f t="shared" si="42"/>
        <v>0</v>
      </c>
      <c r="I103" s="126">
        <f t="shared" si="42"/>
        <v>0</v>
      </c>
      <c r="J103" s="126">
        <f t="shared" si="42"/>
        <v>0</v>
      </c>
      <c r="K103" s="126">
        <f t="shared" si="42"/>
        <v>0</v>
      </c>
      <c r="L103" s="126">
        <f t="shared" si="42"/>
        <v>0</v>
      </c>
      <c r="M103" s="30">
        <f t="shared" si="23"/>
        <v>0</v>
      </c>
      <c r="N103" s="6"/>
      <c r="O103" s="127">
        <f t="shared" si="24"/>
        <v>1</v>
      </c>
      <c r="P103" s="128"/>
      <c r="T103" s="129"/>
      <c r="U103" s="129"/>
      <c r="V103" s="129"/>
      <c r="W103" s="129"/>
      <c r="X103" s="129"/>
      <c r="AL103" s="72"/>
    </row>
    <row r="104" spans="1:38" hidden="1" outlineLevel="1" x14ac:dyDescent="0.25">
      <c r="A104" s="121"/>
      <c r="B104" s="118">
        <v>20</v>
      </c>
      <c r="C104" s="126">
        <f t="shared" ref="C104:L104" si="43">IF(AND(C83&gt;0,$B104&lt;=$B$7),-C83*LN(C83),0)</f>
        <v>0</v>
      </c>
      <c r="D104" s="126">
        <f t="shared" si="43"/>
        <v>0</v>
      </c>
      <c r="E104" s="126">
        <f t="shared" si="43"/>
        <v>0</v>
      </c>
      <c r="F104" s="126">
        <f t="shared" si="43"/>
        <v>0</v>
      </c>
      <c r="G104" s="126">
        <f t="shared" si="43"/>
        <v>0</v>
      </c>
      <c r="H104" s="126">
        <f t="shared" si="43"/>
        <v>0</v>
      </c>
      <c r="I104" s="126">
        <f t="shared" si="43"/>
        <v>0</v>
      </c>
      <c r="J104" s="126">
        <f t="shared" si="43"/>
        <v>0</v>
      </c>
      <c r="K104" s="126">
        <f t="shared" si="43"/>
        <v>0</v>
      </c>
      <c r="L104" s="126">
        <f t="shared" si="43"/>
        <v>0</v>
      </c>
      <c r="M104" s="30">
        <f t="shared" si="23"/>
        <v>0</v>
      </c>
      <c r="N104" s="6"/>
      <c r="O104" s="127">
        <f t="shared" si="24"/>
        <v>1</v>
      </c>
      <c r="P104" s="128"/>
      <c r="T104" s="129"/>
      <c r="U104" s="129"/>
      <c r="V104" s="129"/>
      <c r="W104" s="129"/>
      <c r="X104" s="129"/>
      <c r="AL104" s="72"/>
    </row>
    <row r="105" spans="1:38" ht="13" hidden="1" outlineLevel="1" x14ac:dyDescent="0.3">
      <c r="A105" s="121"/>
      <c r="B105" s="123" t="s">
        <v>59</v>
      </c>
      <c r="C105" s="118" t="e">
        <f t="shared" ref="C105:L105" si="44">IF(C84&gt;0,-C84*LN(C84),0)</f>
        <v>#VALUE!</v>
      </c>
      <c r="D105" s="118">
        <f t="shared" si="44"/>
        <v>0.10158137318541177</v>
      </c>
      <c r="E105" s="118">
        <f t="shared" si="44"/>
        <v>0.21057735195611174</v>
      </c>
      <c r="F105" s="118">
        <f t="shared" si="44"/>
        <v>0</v>
      </c>
      <c r="G105" s="118">
        <f t="shared" si="44"/>
        <v>0</v>
      </c>
      <c r="H105" s="118">
        <f t="shared" si="44"/>
        <v>0</v>
      </c>
      <c r="I105" s="118">
        <f t="shared" si="44"/>
        <v>0</v>
      </c>
      <c r="J105" s="118">
        <f t="shared" si="44"/>
        <v>0</v>
      </c>
      <c r="K105" s="118">
        <f t="shared" si="44"/>
        <v>0</v>
      </c>
      <c r="L105" s="118">
        <f t="shared" si="44"/>
        <v>0</v>
      </c>
      <c r="M105" s="111" t="e">
        <f>EXP(SUM(C105:L105))</f>
        <v>#VALUE!</v>
      </c>
      <c r="N105" s="112" t="s">
        <v>60</v>
      </c>
      <c r="O105" s="113"/>
      <c r="P105" s="6"/>
      <c r="T105" s="66"/>
      <c r="U105" s="66"/>
      <c r="V105" s="66"/>
      <c r="W105" s="66"/>
      <c r="X105" s="66"/>
      <c r="AL105" s="72"/>
    </row>
    <row r="106" spans="1:38" hidden="1" outlineLevel="1" x14ac:dyDescent="0.25">
      <c r="A106" s="132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4"/>
      <c r="P106" s="6"/>
      <c r="AL106" s="72"/>
    </row>
    <row r="107" spans="1:38" collapsed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AG107">
        <v>5</v>
      </c>
      <c r="AL107" s="72"/>
    </row>
  </sheetData>
  <mergeCells count="30">
    <mergeCell ref="B5:C5"/>
    <mergeCell ref="B7:C7"/>
    <mergeCell ref="B9:C9"/>
    <mergeCell ref="M9:P9"/>
    <mergeCell ref="B11:P11"/>
    <mergeCell ref="B13:D13"/>
    <mergeCell ref="B15:D15"/>
    <mergeCell ref="B17:E17"/>
    <mergeCell ref="C18:E18"/>
    <mergeCell ref="F18:N18"/>
    <mergeCell ref="C19:E19"/>
    <mergeCell ref="F19:N19"/>
    <mergeCell ref="C20:E20"/>
    <mergeCell ref="F20:N20"/>
    <mergeCell ref="C21:E21"/>
    <mergeCell ref="F21:N21"/>
    <mergeCell ref="C22:E22"/>
    <mergeCell ref="F22:N22"/>
    <mergeCell ref="C23:E23"/>
    <mergeCell ref="F23:N23"/>
    <mergeCell ref="C24:E24"/>
    <mergeCell ref="F24:N24"/>
    <mergeCell ref="L30:M30"/>
    <mergeCell ref="M36:O36"/>
    <mergeCell ref="C25:E25"/>
    <mergeCell ref="F25:N25"/>
    <mergeCell ref="C26:E26"/>
    <mergeCell ref="F26:N26"/>
    <mergeCell ref="C27:E27"/>
    <mergeCell ref="F27:N27"/>
  </mergeCells>
  <conditionalFormatting sqref="B10">
    <cfRule type="cellIs" dxfId="465" priority="27" operator="greaterThan">
      <formula>0</formula>
    </cfRule>
  </conditionalFormatting>
  <conditionalFormatting sqref="B13:D13">
    <cfRule type="expression" dxfId="464" priority="8">
      <formula>ISBLANK($B$13)</formula>
    </cfRule>
  </conditionalFormatting>
  <conditionalFormatting sqref="B15:D15">
    <cfRule type="expression" dxfId="463" priority="9">
      <formula>ISBLANK($B$15)</formula>
    </cfRule>
  </conditionalFormatting>
  <conditionalFormatting sqref="B11:O11">
    <cfRule type="expression" dxfId="462" priority="7">
      <formula>ISBLANK($B$11)</formula>
    </cfRule>
  </conditionalFormatting>
  <conditionalFormatting sqref="C18:C26">
    <cfRule type="expression" dxfId="461" priority="1">
      <formula>ISBLANK($C18)</formula>
    </cfRule>
  </conditionalFormatting>
  <conditionalFormatting sqref="C38:C47 E38:L47 D39:D47">
    <cfRule type="cellIs" dxfId="460" priority="19" operator="equal">
      <formula>0</formula>
    </cfRule>
  </conditionalFormatting>
  <conditionalFormatting sqref="C36:L36 A38:A47">
    <cfRule type="cellIs" dxfId="459" priority="4" operator="equal">
      <formula>"n/a"</formula>
    </cfRule>
  </conditionalFormatting>
  <conditionalFormatting sqref="C50:L59">
    <cfRule type="cellIs" dxfId="458" priority="18" operator="equal">
      <formula>0</formula>
    </cfRule>
  </conditionalFormatting>
  <conditionalFormatting sqref="D38:L38">
    <cfRule type="cellIs" dxfId="457" priority="20" operator="equal">
      <formula>0</formula>
    </cfRule>
  </conditionalFormatting>
  <conditionalFormatting sqref="F18:F25">
    <cfRule type="expression" dxfId="456" priority="15">
      <formula>ISBLANK($C18)</formula>
    </cfRule>
  </conditionalFormatting>
  <conditionalFormatting sqref="I32">
    <cfRule type="cellIs" dxfId="455" priority="11" operator="greaterThan">
      <formula>$G$32</formula>
    </cfRule>
  </conditionalFormatting>
  <conditionalFormatting sqref="K15">
    <cfRule type="cellIs" dxfId="454" priority="17" operator="greaterThan">
      <formula>11</formula>
    </cfRule>
  </conditionalFormatting>
  <conditionalFormatting sqref="K32">
    <cfRule type="cellIs" dxfId="453" priority="24" operator="equal">
      <formula>"n/a"</formula>
    </cfRule>
    <cfRule type="cellIs" dxfId="452" priority="25" operator="equal">
      <formula>0</formula>
    </cfRule>
    <cfRule type="cellIs" dxfId="451" priority="26" operator="greaterThan">
      <formula>0</formula>
    </cfRule>
  </conditionalFormatting>
  <conditionalFormatting sqref="L30">
    <cfRule type="cellIs" dxfId="450" priority="5" operator="equal">
      <formula>0</formula>
    </cfRule>
  </conditionalFormatting>
  <conditionalFormatting sqref="M32">
    <cfRule type="expression" dxfId="449" priority="10">
      <formula>$M$32&gt;$K$7</formula>
    </cfRule>
  </conditionalFormatting>
  <conditionalFormatting sqref="O18:O27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{6C3D84DD-E261-45AF-92FC-40603F29B77A}</x14:id>
        </ext>
      </extLst>
    </cfRule>
  </conditionalFormatting>
  <conditionalFormatting sqref="O18:P27">
    <cfRule type="cellIs" dxfId="448" priority="6" operator="lessThan">
      <formula>0.001</formula>
    </cfRule>
  </conditionalFormatting>
  <conditionalFormatting sqref="O38:P47">
    <cfRule type="cellIs" dxfId="447" priority="3" operator="equal">
      <formula>0</formula>
    </cfRule>
  </conditionalFormatting>
  <conditionalFormatting sqref="O85:P10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{C6A05FAB-7491-4C60-B86E-D210FEA3E220}</x14:id>
        </ext>
      </extLst>
    </cfRule>
  </conditionalFormatting>
  <conditionalFormatting sqref="P30">
    <cfRule type="cellIs" dxfId="446" priority="28" operator="lessThan">
      <formula>0.001</formula>
    </cfRule>
  </conditionalFormatting>
  <conditionalFormatting sqref="P32">
    <cfRule type="cellIs" dxfId="445" priority="29" operator="lessThan">
      <formula>0.001</formula>
    </cfRule>
  </conditionalFormatting>
  <conditionalFormatting sqref="T37:AC46">
    <cfRule type="cellIs" dxfId="444" priority="32" operator="equal">
      <formula>0</formula>
    </cfRule>
  </conditionalFormatting>
  <conditionalFormatting sqref="T50:AC59">
    <cfRule type="cellIs" dxfId="443" priority="31" operator="equal">
      <formula>0</formula>
    </cfRule>
  </conditionalFormatting>
  <conditionalFormatting sqref="T63:AC73 AH64 C64:L83 C85:L104 T86:X104">
    <cfRule type="cellIs" dxfId="442" priority="12" operator="equal">
      <formula>0</formula>
    </cfRule>
  </conditionalFormatting>
  <conditionalFormatting sqref="AD74:AD77">
    <cfRule type="cellIs" dxfId="441" priority="23" operator="equal">
      <formula>0</formula>
    </cfRule>
  </conditionalFormatting>
  <dataValidations count="6">
    <dataValidation type="whole" allowBlank="1" showInputMessage="1" showErrorMessage="1" promptTitle="sel. participant" prompt="0 - 20_x000a_0 = consolidated" sqref="B9:C9" xr:uid="{00000000-0002-0000-0100-000000000000}">
      <formula1>0</formula1>
      <formula2>B7</formula2>
    </dataValidation>
    <dataValidation type="whole" allowBlank="1" showInputMessage="1" showErrorMessage="1" promptTitle="Scale" prompt="1 - Linear (Saaty)_x000a_2 - Log_x000a_3 - Sqrt_x000a_4 - InvLin_x000a_5 - Balanced-n_x000a_6 - Power_x000a_7 - Geom_x000a_8 - Adaptive" sqref="K5" xr:uid="{00000000-0002-0000-0100-000001000000}">
      <formula1>1</formula1>
      <formula2>8</formula2>
    </dataValidation>
    <dataValidation type="decimal" allowBlank="1" showInputMessage="1" showErrorMessage="1" promptTitle="Consistency acceptance" prompt="range 0 - 1 (0.1 Saaty)" sqref="K7" xr:uid="{00000000-0002-0000-0100-000002000000}">
      <formula1>0.001</formula1>
      <formula2>1</formula2>
    </dataValidation>
    <dataValidation type="whole" allowBlank="1" showInputMessage="1" showErrorMessage="1" sqref="C6" xr:uid="{00000000-0002-0000-0100-000003000000}">
      <formula1>3</formula1>
      <formula2>8</formula2>
    </dataValidation>
    <dataValidation type="whole" allowBlank="1" showInputMessage="1" showErrorMessage="1" promptTitle="No of participants" prompt="1 to 20" sqref="B7:C7" xr:uid="{00000000-0002-0000-0100-000004000000}">
      <formula1>1</formula1>
      <formula2>20</formula2>
    </dataValidation>
    <dataValidation type="whole" allowBlank="1" showInputMessage="1" showErrorMessage="1" promptTitle="No of Criteria" prompt="2 to 10" sqref="B5:C5" xr:uid="{00000000-0002-0000-0100-000005000000}">
      <formula1>2</formula1>
      <formula2>10</formula2>
    </dataValidation>
  </dataValidations>
  <pageMargins left="0.98402777777777795" right="0.74791666666666701" top="0.98402777777777795" bottom="0.78749999999999998" header="0.51180555555555496" footer="0.51180555555555496"/>
  <pageSetup paperSize="9" firstPageNumber="0" orientation="portrait" horizontalDpi="300" verticalDpi="300"/>
  <headerFooter>
    <oddHeader>&amp;Lhttp://bpmsg.com&amp;CAHP&amp;R&amp;D</oddHeader>
    <oddFooter>&amp;Lby K. Goepel&amp;R&amp;F-&amp;A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D84DD-E261-45AF-92FC-40603F29B77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O18:O27</xm:sqref>
        </x14:conditionalFormatting>
        <x14:conditionalFormatting xmlns:xm="http://schemas.microsoft.com/office/excel/2006/main">
          <x14:cfRule type="dataBar" id="{C6A05FAB-7491-4C60-B86E-D210FEA3E220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O85:P104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33"/>
  <sheetViews>
    <sheetView zoomScale="147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31" width="6.726562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  <c r="P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  <c r="P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0.4285714285714286</v>
      </c>
      <c r="P6" s="154">
        <f t="shared" ref="P6:P15" si="1">N91*SINH(P79)/O$101</f>
        <v>1.3457935360146647E-16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0.14285714285714282</v>
      </c>
      <c r="P7" s="154">
        <f t="shared" si="1"/>
        <v>3.172065784643303E-17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0.4285714285714286</v>
      </c>
      <c r="P8" s="154">
        <f t="shared" si="1"/>
        <v>1.3457935360146647E-16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7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7"/>
      <c r="Q16" s="3"/>
    </row>
    <row r="17" spans="1:24" ht="12.75" customHeight="1" x14ac:dyDescent="0.3">
      <c r="A17" s="6"/>
      <c r="B17" s="328" t="s">
        <v>70</v>
      </c>
      <c r="C17" s="328"/>
      <c r="D17" s="328"/>
      <c r="E17" s="328"/>
      <c r="F17" s="1">
        <v>1</v>
      </c>
      <c r="G17" s="329"/>
      <c r="H17" s="329"/>
      <c r="I17" s="161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-1.8534608090570239E-15</v>
      </c>
      <c r="N17" s="27"/>
      <c r="O17" s="164">
        <f>Summary!K5</f>
        <v>1</v>
      </c>
      <c r="P17" s="7"/>
    </row>
    <row r="18" spans="1:24" ht="12.75" customHeight="1" x14ac:dyDescent="0.25">
      <c r="A18" s="6"/>
      <c r="B18" s="165" t="s">
        <v>71</v>
      </c>
      <c r="C18" s="7"/>
      <c r="D18" s="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7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75</v>
      </c>
      <c r="L21" s="188">
        <v>3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3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75</v>
      </c>
      <c r="L22" s="197">
        <v>1</v>
      </c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3</v>
      </c>
      <c r="M28" s="189" t="str">
        <f t="shared" ca="1" si="4"/>
        <v/>
      </c>
      <c r="N28" s="190" t="str">
        <f t="shared" ca="1" si="5"/>
        <v/>
      </c>
      <c r="O28" s="191">
        <f t="shared" si="6"/>
        <v>0.33333333333333331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11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  <c r="P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  <c r="P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  <c r="P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  <c r="P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  <c r="P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  <c r="P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  <c r="P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  <c r="P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  <c r="P74" s="6"/>
    </row>
    <row r="75" spans="1:26" ht="12.75" customHeight="1" outlineLevel="1" x14ac:dyDescent="0.3">
      <c r="A75" s="218" t="s">
        <v>95</v>
      </c>
      <c r="B75" s="108"/>
      <c r="C75" s="108"/>
      <c r="D75" s="219"/>
      <c r="E75" s="219"/>
      <c r="F75" s="108"/>
      <c r="G75" s="108"/>
      <c r="H75" s="108"/>
      <c r="I75" s="108"/>
      <c r="J75" s="108"/>
      <c r="K75" s="108"/>
      <c r="L75" s="108"/>
      <c r="M75" s="108"/>
      <c r="N75" s="109"/>
    </row>
    <row r="76" spans="1:26" ht="12.75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</v>
      </c>
      <c r="I76" s="6"/>
      <c r="J76" s="6"/>
      <c r="K76" s="6"/>
      <c r="L76" s="6"/>
      <c r="M76" s="6"/>
      <c r="N76" s="113"/>
    </row>
    <row r="77" spans="1:26" ht="47.25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customHeight="1" outlineLevel="1" x14ac:dyDescent="0.25">
      <c r="A79" s="227"/>
      <c r="B79" s="30">
        <v>1</v>
      </c>
      <c r="C79" s="228">
        <v>1</v>
      </c>
      <c r="D79" s="229">
        <f t="shared" ref="D79:L79" si="9">IF(ISNA(VLOOKUP(($B79*10+D$78),$A$21:$O$65,15,0)),0,VLOOKUP(($B79*10+D$78),$A$21:$O$65,15,0))</f>
        <v>3</v>
      </c>
      <c r="E79" s="229">
        <f t="shared" si="9"/>
        <v>1</v>
      </c>
      <c r="F79" s="229">
        <f t="shared" si="9"/>
        <v>0</v>
      </c>
      <c r="G79" s="229">
        <f t="shared" si="9"/>
        <v>0</v>
      </c>
      <c r="H79" s="229">
        <f t="shared" si="9"/>
        <v>0</v>
      </c>
      <c r="I79" s="229">
        <f t="shared" si="9"/>
        <v>0</v>
      </c>
      <c r="J79" s="229">
        <f t="shared" si="9"/>
        <v>0</v>
      </c>
      <c r="K79" s="229">
        <f t="shared" si="9"/>
        <v>0</v>
      </c>
      <c r="L79" s="229">
        <f t="shared" si="9"/>
        <v>0</v>
      </c>
      <c r="M79" s="6"/>
      <c r="N79" s="113"/>
      <c r="P79" s="229">
        <f t="shared" ref="P79:P89" si="10">SQRT(SUM(Q79:Z79)/($K$1-1))</f>
        <v>3.1401849173675508E-16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1.9721522630525304E-31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customHeight="1" outlineLevel="1" x14ac:dyDescent="0.25">
      <c r="A80" s="227"/>
      <c r="B80" s="30">
        <v>2</v>
      </c>
      <c r="C80" s="229">
        <f t="shared" ref="C80:C88" si="12">IF(ISNA(VLOOKUP((10*C$78+$B80),$A$21:$O$65,15,0)),0,1/VLOOKUP((10*C$78+$B80),$A$21:$O$65,15,0))</f>
        <v>0.33333333333333331</v>
      </c>
      <c r="D80" s="228">
        <v>1</v>
      </c>
      <c r="E80" s="229">
        <f t="shared" ref="E80:L80" si="13">IF(ISNA(VLOOKUP(($B80*10+E$78),$A$21:$O$65,15,0)),0,VLOOKUP(($B80*10+E$78),$A$21:$O$65,15,0))</f>
        <v>0.33333333333333331</v>
      </c>
      <c r="F80" s="229">
        <f t="shared" si="13"/>
        <v>0</v>
      </c>
      <c r="G80" s="229">
        <f t="shared" si="13"/>
        <v>0</v>
      </c>
      <c r="H80" s="229">
        <f t="shared" si="13"/>
        <v>0</v>
      </c>
      <c r="I80" s="229">
        <f t="shared" si="13"/>
        <v>0</v>
      </c>
      <c r="J80" s="229">
        <f t="shared" si="13"/>
        <v>0</v>
      </c>
      <c r="K80" s="229">
        <f t="shared" si="13"/>
        <v>0</v>
      </c>
      <c r="L80" s="229">
        <f t="shared" si="13"/>
        <v>0</v>
      </c>
      <c r="M80" s="6"/>
      <c r="N80" s="113"/>
      <c r="P80" s="229">
        <f t="shared" si="10"/>
        <v>2.2204460492503128E-16</v>
      </c>
      <c r="Q80" s="229">
        <f t="shared" si="11"/>
        <v>4.9303806576313227E-32</v>
      </c>
      <c r="R80" s="228">
        <f t="shared" si="11"/>
        <v>0</v>
      </c>
      <c r="S80" s="229">
        <f t="shared" si="11"/>
        <v>4.9303806576313227E-32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customHeight="1" outlineLevel="1" x14ac:dyDescent="0.25">
      <c r="A81" s="227"/>
      <c r="B81" s="30">
        <v>3</v>
      </c>
      <c r="C81" s="229">
        <f t="shared" si="12"/>
        <v>1</v>
      </c>
      <c r="D81" s="229">
        <f t="shared" ref="D81:D88" si="14">IF(ISNA(VLOOKUP((10*D$78+$B81),$A$21:$O$65,15,0)),0,1/VLOOKUP((10*D$78+$B81),$A$21:$O$65,15,0))</f>
        <v>3</v>
      </c>
      <c r="E81" s="228">
        <v>1</v>
      </c>
      <c r="F81" s="229">
        <f t="shared" ref="F81:L81" si="15">IF(ISNA(VLOOKUP(($B81*10+F$78),$A$21:$O$65,15,0)),0,VLOOKUP(($B81*10+F$78),$A$21:$O$65,15,0))</f>
        <v>0</v>
      </c>
      <c r="G81" s="229">
        <f t="shared" si="15"/>
        <v>0</v>
      </c>
      <c r="H81" s="229">
        <f t="shared" si="15"/>
        <v>0</v>
      </c>
      <c r="I81" s="229">
        <f t="shared" si="15"/>
        <v>0</v>
      </c>
      <c r="J81" s="229">
        <f t="shared" si="15"/>
        <v>0</v>
      </c>
      <c r="K81" s="229">
        <f t="shared" si="15"/>
        <v>0</v>
      </c>
      <c r="L81" s="229">
        <f t="shared" si="15"/>
        <v>0</v>
      </c>
      <c r="M81" s="6"/>
      <c r="N81" s="113"/>
      <c r="P81" s="229">
        <f t="shared" si="10"/>
        <v>3.1401849173675508E-16</v>
      </c>
      <c r="Q81" s="229">
        <f t="shared" si="11"/>
        <v>0</v>
      </c>
      <c r="R81" s="229">
        <f t="shared" si="11"/>
        <v>1.9721522630525304E-31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customHeight="1" outlineLevel="1" x14ac:dyDescent="0.25">
      <c r="A82" s="230"/>
      <c r="B82" s="30">
        <v>4</v>
      </c>
      <c r="C82" s="229">
        <f t="shared" si="12"/>
        <v>0</v>
      </c>
      <c r="D82" s="229">
        <f t="shared" si="14"/>
        <v>0</v>
      </c>
      <c r="E82" s="229">
        <f t="shared" ref="E82:E88" si="16">IF(ISNA(VLOOKUP((10*E$78+$B82),$A$21:$O$65,15,0)),0,1/VLOOKUP((10*E$78+$B82),$A$21:$O$65,15,0))</f>
        <v>0</v>
      </c>
      <c r="F82" s="228">
        <v>1</v>
      </c>
      <c r="G82" s="229">
        <f t="shared" ref="G82:L82" si="17">IF(ISNA(VLOOKUP(($B82*10+G$78),$A$21:$O$65,15,0)),0,VLOOKUP(($B82*10+G$78),$A$21:$O$65,15,0))</f>
        <v>0</v>
      </c>
      <c r="H82" s="229">
        <f t="shared" si="17"/>
        <v>0</v>
      </c>
      <c r="I82" s="229">
        <f t="shared" si="17"/>
        <v>0</v>
      </c>
      <c r="J82" s="229">
        <f t="shared" si="17"/>
        <v>0</v>
      </c>
      <c r="K82" s="229">
        <f t="shared" si="17"/>
        <v>0</v>
      </c>
      <c r="L82" s="229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customHeight="1" outlineLevel="1" x14ac:dyDescent="0.25">
      <c r="A83" s="230"/>
      <c r="B83" s="30">
        <v>5</v>
      </c>
      <c r="C83" s="229">
        <f t="shared" si="12"/>
        <v>0</v>
      </c>
      <c r="D83" s="229">
        <f t="shared" si="14"/>
        <v>0</v>
      </c>
      <c r="E83" s="229">
        <f t="shared" si="16"/>
        <v>0</v>
      </c>
      <c r="F83" s="229">
        <f t="shared" ref="F83:F88" si="18">IF(ISNA(VLOOKUP((10*F$78+$B83),$A$21:$O$65,15,0)),0,1/VLOOKUP((10*F$78+$B83),$A$21:$O$65,15,0))</f>
        <v>0</v>
      </c>
      <c r="G83" s="228">
        <v>1</v>
      </c>
      <c r="H83" s="229">
        <f>IF(ISNA(VLOOKUP(($B83*10+H$78),$A$21:$O$65,15,0)),0,VLOOKUP(($B83*10+H$78),$A$21:$O$65,15,0))</f>
        <v>0</v>
      </c>
      <c r="I83" s="229">
        <f>IF(ISNA(VLOOKUP(($B83*10+I$78),$A$21:$O$65,15,0)),0,VLOOKUP(($B83*10+I$78),$A$21:$O$65,15,0))</f>
        <v>0</v>
      </c>
      <c r="J83" s="229">
        <f>IF(ISNA(VLOOKUP(($B83*10+J$78),$A$21:$O$65,15,0)),0,VLOOKUP(($B83*10+J$78),$A$21:$O$65,15,0))</f>
        <v>0</v>
      </c>
      <c r="K83" s="229">
        <f>IF(ISNA(VLOOKUP(($B83*10+K$78),$A$21:$O$65,15,0)),0,VLOOKUP(($B83*10+K$78),$A$21:$O$65,15,0))</f>
        <v>0</v>
      </c>
      <c r="L83" s="229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customHeight="1" outlineLevel="1" x14ac:dyDescent="0.25">
      <c r="A84" s="230"/>
      <c r="B84" s="30">
        <v>6</v>
      </c>
      <c r="C84" s="229">
        <f t="shared" si="12"/>
        <v>0</v>
      </c>
      <c r="D84" s="229">
        <f t="shared" si="14"/>
        <v>0</v>
      </c>
      <c r="E84" s="229">
        <f t="shared" si="16"/>
        <v>0</v>
      </c>
      <c r="F84" s="229">
        <f t="shared" si="18"/>
        <v>0</v>
      </c>
      <c r="G84" s="229">
        <f>IF(ISNA(VLOOKUP((10*G$78+$B84),$A$21:$O$65,15,0)),0,1/VLOOKUP((10*G$78+$B84),$A$21:$O$65,15,0))</f>
        <v>0</v>
      </c>
      <c r="H84" s="228">
        <v>1</v>
      </c>
      <c r="I84" s="229">
        <f>IF(ISNA(VLOOKUP(($B84*10+I$78),$A$21:$O$65,15,0)),0,VLOOKUP(($B84*10+I$78),$A$21:$O$65,15,0))</f>
        <v>0</v>
      </c>
      <c r="J84" s="229">
        <f>IF(ISNA(VLOOKUP(($B84*10+J$78),$A$21:$O$65,15,0)),0,VLOOKUP(($B84*10+J$78),$A$21:$O$65,15,0))</f>
        <v>0</v>
      </c>
      <c r="K84" s="229">
        <f>IF(ISNA(VLOOKUP(($B84*10+K$78),$A$21:$O$65,15,0)),0,VLOOKUP(($B84*10+K$78),$A$21:$O$65,15,0))</f>
        <v>0</v>
      </c>
      <c r="L84" s="229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customHeight="1" outlineLevel="1" x14ac:dyDescent="0.25">
      <c r="A85" s="230"/>
      <c r="B85" s="30">
        <v>7</v>
      </c>
      <c r="C85" s="229">
        <f t="shared" si="12"/>
        <v>0</v>
      </c>
      <c r="D85" s="229">
        <f t="shared" si="14"/>
        <v>0</v>
      </c>
      <c r="E85" s="229">
        <f t="shared" si="16"/>
        <v>0</v>
      </c>
      <c r="F85" s="229">
        <f t="shared" si="18"/>
        <v>0</v>
      </c>
      <c r="G85" s="229">
        <f>IF(ISNA(VLOOKUP((10*G$78+$B85),$A$21:$O$65,15,0)),0,1/VLOOKUP((10*G$78+$B85),$A$21:$O$65,15,0))</f>
        <v>0</v>
      </c>
      <c r="H85" s="229">
        <f>IF(ISNA(VLOOKUP((10*H$78+$B85),$A$21:$O$65,15,0)),0,1/VLOOKUP((10*H$78+$B85),$A$21:$O$65,15,0))</f>
        <v>0</v>
      </c>
      <c r="I85" s="228">
        <v>1</v>
      </c>
      <c r="J85" s="229">
        <f>IF(ISNA(VLOOKUP(($B85*10+J$78),$A$21:$O$65,15,0)),0,VLOOKUP(($B85*10+J$78),$A$21:$O$65,15,0))</f>
        <v>0</v>
      </c>
      <c r="K85" s="229">
        <f>IF(ISNA(VLOOKUP(($B85*10+K$78),$A$21:$O$65,15,0)),0,VLOOKUP(($B85*10+K$78),$A$21:$O$65,15,0))</f>
        <v>0</v>
      </c>
      <c r="L85" s="229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customHeight="1" outlineLevel="1" x14ac:dyDescent="0.25">
      <c r="A86" s="230"/>
      <c r="B86" s="30">
        <v>8</v>
      </c>
      <c r="C86" s="229">
        <f t="shared" si="12"/>
        <v>0</v>
      </c>
      <c r="D86" s="229">
        <f t="shared" si="14"/>
        <v>0</v>
      </c>
      <c r="E86" s="229">
        <f t="shared" si="16"/>
        <v>0</v>
      </c>
      <c r="F86" s="229">
        <f t="shared" si="18"/>
        <v>0</v>
      </c>
      <c r="G86" s="229">
        <f>IF(ISNA(VLOOKUP((10*G$78+$B86),$A$21:$O$65,15,0)),0,1/VLOOKUP((10*G$78+$B86),$A$21:$O$65,15,0))</f>
        <v>0</v>
      </c>
      <c r="H86" s="229">
        <f>IF(ISNA(VLOOKUP((10*H$78+$B86),$A$21:$O$65,15,0)),0,1/VLOOKUP((10*H$78+$B86),$A$21:$O$65,15,0))</f>
        <v>0</v>
      </c>
      <c r="I86" s="229">
        <f>IF(ISNA(VLOOKUP((10*I$78+$B86),$A$21:$O$65,15,0)),0,1/VLOOKUP((10*I$78+$B86),$A$21:$O$65,15,0))</f>
        <v>0</v>
      </c>
      <c r="J86" s="228">
        <v>1</v>
      </c>
      <c r="K86" s="229">
        <f>IF(ISNA(VLOOKUP(($B86*10+K$78),$A$21:$O$65,15,0)),0,VLOOKUP(($B86*10+K$78),$A$21:$O$65,15,0))</f>
        <v>0</v>
      </c>
      <c r="L86" s="229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customHeight="1" outlineLevel="1" x14ac:dyDescent="0.25">
      <c r="A87" s="121"/>
      <c r="B87" s="30">
        <v>9</v>
      </c>
      <c r="C87" s="229">
        <f t="shared" si="12"/>
        <v>0</v>
      </c>
      <c r="D87" s="229">
        <f t="shared" si="14"/>
        <v>0</v>
      </c>
      <c r="E87" s="229">
        <f t="shared" si="16"/>
        <v>0</v>
      </c>
      <c r="F87" s="229">
        <f t="shared" si="18"/>
        <v>0</v>
      </c>
      <c r="G87" s="229">
        <f>IF(ISNA(VLOOKUP((10*G$78+$B87),$A$21:$O$65,15,0)),0,1/VLOOKUP((10*G$78+$B87),$A$21:$O$65,15,0))</f>
        <v>0</v>
      </c>
      <c r="H87" s="229">
        <f>IF(ISNA(VLOOKUP((10*H$78+$B87),$A$21:$O$65,15,0)),0,1/VLOOKUP((10*H$78+$B87),$A$21:$O$65,15,0))</f>
        <v>0</v>
      </c>
      <c r="I87" s="229">
        <f>IF(ISNA(VLOOKUP((10*I$78+$B87),$A$21:$O$65,15,0)),0,1/VLOOKUP((10*I$78+$B87),$A$21:$O$65,15,0))</f>
        <v>0</v>
      </c>
      <c r="J87" s="229">
        <f>IF(ISNA(VLOOKUP((10*J$78+$B87),$A$21:$O$65,15,0)),0,1/VLOOKUP((10*J$78+$B87),$A$21:$O$65,15,0))</f>
        <v>0</v>
      </c>
      <c r="K87" s="228">
        <v>1</v>
      </c>
      <c r="L87" s="84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outlineLevel="1" x14ac:dyDescent="0.25">
      <c r="A88" s="121"/>
      <c r="B88" s="30">
        <v>10</v>
      </c>
      <c r="C88" s="229">
        <f t="shared" si="12"/>
        <v>0</v>
      </c>
      <c r="D88" s="229">
        <f t="shared" si="14"/>
        <v>0</v>
      </c>
      <c r="E88" s="229">
        <f t="shared" si="16"/>
        <v>0</v>
      </c>
      <c r="F88" s="229">
        <f t="shared" si="18"/>
        <v>0</v>
      </c>
      <c r="G88" s="229">
        <f>IF(ISNA(VLOOKUP((10*G$78+$B88),$A$21:$O$65,15,0)),0,1/VLOOKUP((10*G$78+$B88),$A$21:$O$65,15,0))</f>
        <v>0</v>
      </c>
      <c r="H88" s="229">
        <f>IF(ISNA(VLOOKUP((10*H$78+$B88),$A$21:$O$65,15,0)),0,1/VLOOKUP((10*H$78+$B88),$A$21:$O$65,15,0))</f>
        <v>0</v>
      </c>
      <c r="I88" s="229">
        <f>IF(ISNA(VLOOKUP((10*I$78+$B88),$A$21:$O$65,15,0)),0,1/VLOOKUP((10*I$78+$B88),$A$21:$O$65,15,0))</f>
        <v>0</v>
      </c>
      <c r="J88" s="229">
        <f>IF(ISNA(VLOOKUP((10*J$78+$B88),$A$21:$O$65,15,0)),0,1/VLOOKUP((10*J$78+$B88),$A$21:$O$65,15,0))</f>
        <v>0</v>
      </c>
      <c r="K88" s="229">
        <f>IF(ISNA(VLOOKUP((10*K$78+$B88),$A$21:$O$65,15,0)),0,1/VLOOKUP((10*K$78+$B88),$A$21:$O$65,15,0))</f>
        <v>0</v>
      </c>
      <c r="L88" s="228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outlineLevel="1" x14ac:dyDescent="0.25">
      <c r="A89" s="121"/>
      <c r="B89" s="27" t="s">
        <v>99</v>
      </c>
      <c r="C89" s="229">
        <f t="shared" ref="C89:L89" si="19">SUM(C79:C88)</f>
        <v>2.333333333333333</v>
      </c>
      <c r="D89" s="229">
        <f t="shared" si="19"/>
        <v>7</v>
      </c>
      <c r="E89" s="229">
        <f t="shared" si="19"/>
        <v>2.333333333333333</v>
      </c>
      <c r="F89" s="229">
        <f t="shared" si="19"/>
        <v>1</v>
      </c>
      <c r="G89" s="229">
        <f t="shared" si="19"/>
        <v>1</v>
      </c>
      <c r="H89" s="229">
        <f t="shared" si="19"/>
        <v>1</v>
      </c>
      <c r="I89" s="229">
        <f t="shared" si="19"/>
        <v>1</v>
      </c>
      <c r="J89" s="229">
        <f t="shared" si="19"/>
        <v>1</v>
      </c>
      <c r="K89" s="229">
        <f t="shared" si="19"/>
        <v>1</v>
      </c>
      <c r="L89" s="229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</row>
    <row r="91" spans="1:26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1.0986122886681098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1.4422495703074085</v>
      </c>
      <c r="N91" s="233">
        <f t="shared" ref="N91:N100" si="22">IF(B91&lt;=K$1,M91/M$101,0)</f>
        <v>0.42857142857142844</v>
      </c>
      <c r="O91" s="233">
        <f t="shared" ref="O91:O100" si="23">N91*COSH(P79)</f>
        <v>0.42857142857142844</v>
      </c>
      <c r="P91" s="234"/>
    </row>
    <row r="92" spans="1:26" outlineLevel="1" x14ac:dyDescent="0.25">
      <c r="A92" s="121"/>
      <c r="B92" s="30">
        <v>2</v>
      </c>
      <c r="C92" s="229">
        <f t="shared" ref="C92:L92" si="24">IF(C80&gt;0,LN(C80),0)</f>
        <v>-1.0986122886681098</v>
      </c>
      <c r="D92" s="229">
        <f t="shared" si="24"/>
        <v>0</v>
      </c>
      <c r="E92" s="229">
        <f t="shared" si="24"/>
        <v>-1.0986122886681098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0.48074985676913606</v>
      </c>
      <c r="N92" s="233">
        <f t="shared" si="22"/>
        <v>0.14285714285714277</v>
      </c>
      <c r="O92" s="233">
        <f t="shared" si="23"/>
        <v>0.14285714285714277</v>
      </c>
      <c r="P92" s="234"/>
    </row>
    <row r="93" spans="1:26" ht="12.75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1.0986122886681098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1.4422495703074085</v>
      </c>
      <c r="N93" s="233">
        <f t="shared" si="22"/>
        <v>0.42857142857142844</v>
      </c>
      <c r="O93" s="233">
        <f t="shared" si="23"/>
        <v>0.42857142857142844</v>
      </c>
      <c r="P93" s="234"/>
    </row>
    <row r="94" spans="1:26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33">
        <f t="shared" si="22"/>
        <v>0</v>
      </c>
      <c r="O94" s="233">
        <f t="shared" si="23"/>
        <v>0</v>
      </c>
      <c r="P94" s="234"/>
    </row>
    <row r="95" spans="1:26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33">
        <f t="shared" si="22"/>
        <v>0</v>
      </c>
      <c r="O95" s="233">
        <f t="shared" si="23"/>
        <v>0</v>
      </c>
      <c r="P95" s="234"/>
    </row>
    <row r="96" spans="1:26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33">
        <f t="shared" si="22"/>
        <v>0</v>
      </c>
      <c r="O96" s="234">
        <f t="shared" si="23"/>
        <v>0</v>
      </c>
      <c r="P96" s="234"/>
    </row>
    <row r="97" spans="1:26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33">
        <f t="shared" si="22"/>
        <v>0</v>
      </c>
      <c r="O97" s="234">
        <f t="shared" si="23"/>
        <v>0</v>
      </c>
      <c r="P97" s="234"/>
    </row>
    <row r="98" spans="1:26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33">
        <f t="shared" si="22"/>
        <v>0</v>
      </c>
      <c r="O98" s="234">
        <f t="shared" si="23"/>
        <v>0</v>
      </c>
      <c r="P98" s="234"/>
    </row>
    <row r="99" spans="1:26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33">
        <f t="shared" si="22"/>
        <v>0</v>
      </c>
      <c r="O99" s="234">
        <f t="shared" si="23"/>
        <v>0</v>
      </c>
      <c r="P99" s="234"/>
    </row>
    <row r="100" spans="1:26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33">
        <f t="shared" si="22"/>
        <v>0</v>
      </c>
      <c r="O100" s="234">
        <f t="shared" si="23"/>
        <v>0</v>
      </c>
      <c r="P100" s="234"/>
    </row>
    <row r="101" spans="1:26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3.3652489973839543</v>
      </c>
      <c r="N101" s="236">
        <f>MMULT(C89:L89,N91:N100)</f>
        <v>2.9999999999999982</v>
      </c>
      <c r="O101" s="237">
        <f>SUM(O91:O100)</f>
        <v>0.99999999999999956</v>
      </c>
      <c r="P101" s="229"/>
    </row>
    <row r="102" spans="1:26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1.0000000000000004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0.99999999999999978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  <c r="Q103" s="238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  <c r="Q104" s="238"/>
      <c r="R104" s="238"/>
      <c r="S104" s="30"/>
      <c r="T104" s="30"/>
      <c r="U104" s="30"/>
      <c r="V104" s="30"/>
      <c r="W104" s="30"/>
      <c r="X104" s="30"/>
      <c r="Y104" s="30"/>
      <c r="Z104" s="30"/>
    </row>
    <row r="105" spans="1:26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  <c r="Q105" s="238"/>
      <c r="R105" s="238"/>
      <c r="S105" s="238"/>
      <c r="T105" s="30"/>
      <c r="U105" s="30"/>
      <c r="V105" s="30"/>
      <c r="W105" s="30"/>
      <c r="X105" s="30"/>
      <c r="Y105" s="30"/>
      <c r="Z105" s="30"/>
    </row>
    <row r="106" spans="1:26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  <c r="Q106" s="238"/>
      <c r="R106" s="238"/>
      <c r="S106" s="238"/>
      <c r="T106" s="238"/>
      <c r="U106" s="30"/>
      <c r="V106" s="30"/>
      <c r="W106" s="30"/>
      <c r="X106" s="30"/>
      <c r="Y106" s="30"/>
      <c r="Z106" s="30"/>
    </row>
    <row r="107" spans="1:26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  <c r="Q107" s="238"/>
      <c r="R107" s="238"/>
      <c r="S107" s="238"/>
      <c r="T107" s="238"/>
      <c r="U107" s="238"/>
      <c r="V107" s="30"/>
      <c r="W107" s="30"/>
      <c r="X107" s="30"/>
      <c r="Y107" s="30"/>
      <c r="Z107" s="30"/>
    </row>
    <row r="108" spans="1:26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  <c r="Q108" s="238"/>
      <c r="R108" s="238"/>
      <c r="S108" s="238"/>
      <c r="T108" s="238"/>
      <c r="U108" s="238"/>
      <c r="V108" s="238"/>
      <c r="W108" s="30"/>
      <c r="X108" s="30"/>
      <c r="Y108" s="30"/>
      <c r="Z108" s="30"/>
    </row>
    <row r="109" spans="1:26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  <c r="Q109" s="238"/>
      <c r="R109" s="238"/>
      <c r="S109" s="238"/>
      <c r="T109" s="238"/>
      <c r="U109" s="238"/>
      <c r="V109" s="238"/>
      <c r="W109" s="238"/>
      <c r="X109" s="30"/>
      <c r="Y109" s="30"/>
      <c r="Z109" s="30"/>
    </row>
    <row r="110" spans="1:26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  <c r="Q110" s="238"/>
      <c r="R110" s="238"/>
      <c r="S110" s="238"/>
      <c r="T110" s="238"/>
      <c r="U110" s="238"/>
      <c r="V110" s="238"/>
      <c r="W110" s="238"/>
      <c r="X110" s="238"/>
      <c r="Y110" s="30"/>
      <c r="Z110" s="30"/>
    </row>
    <row r="111" spans="1:26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  <c r="Q111" s="238"/>
      <c r="R111" s="238"/>
      <c r="S111" s="238"/>
      <c r="T111" s="238"/>
      <c r="U111" s="238"/>
      <c r="V111" s="238"/>
      <c r="W111" s="238"/>
      <c r="X111" s="238"/>
      <c r="Y111" s="238"/>
      <c r="Z111" s="30"/>
    </row>
    <row r="112" spans="1:26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0.3333333333333332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3.0000000000000009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A3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B3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440" priority="23">
      <formula>ISBLANK($B$17)</formula>
    </cfRule>
  </conditionalFormatting>
  <conditionalFormatting sqref="B6:N15">
    <cfRule type="expression" dxfId="439" priority="22">
      <formula>$B6&lt;&gt;""</formula>
    </cfRule>
  </conditionalFormatting>
  <conditionalFormatting sqref="C77:I77 N77 A79:A86">
    <cfRule type="cellIs" dxfId="438" priority="2" operator="equal">
      <formula>"n/a"</formula>
    </cfRule>
  </conditionalFormatting>
  <conditionalFormatting sqref="C91:L100">
    <cfRule type="cellIs" dxfId="437" priority="20" operator="equal">
      <formula>0</formula>
    </cfRule>
  </conditionalFormatting>
  <conditionalFormatting sqref="C102:L111">
    <cfRule type="cellIs" dxfId="436" priority="18" operator="equal">
      <formula>0</formula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79:L80 J80:L85 C80:C88 C81:D81 F81:L81 D81:D88 C82:E82 G82:L82 E82:E88 C83:F83 H83:L83 F83:F88 C84:G84 I84:L84 G84:G88 C85:H85 H85:H88 C86:I86 K86:L86 I86:I88 L87 C87:J88 C88:K88">
    <cfRule type="cellIs" dxfId="435" priority="4" operator="notEqual">
      <formula>0</formula>
    </cfRule>
  </conditionalFormatting>
  <conditionalFormatting sqref="G17">
    <cfRule type="expression" dxfId="434" priority="17">
      <formula>ISBLANK($G$17)</formula>
    </cfRule>
  </conditionalFormatting>
  <conditionalFormatting sqref="K21:L65">
    <cfRule type="expression" dxfId="433" priority="12">
      <formula>AND($A21&gt;0,OR($K21="",$L21=""))</formula>
    </cfRule>
    <cfRule type="expression" dxfId="432" priority="13">
      <formula>($A21=0)</formula>
    </cfRule>
  </conditionalFormatting>
  <conditionalFormatting sqref="K27:L27">
    <cfRule type="cellIs" dxfId="431" priority="3" operator="equal">
      <formula>""" """</formula>
    </cfRule>
  </conditionalFormatting>
  <conditionalFormatting sqref="M17">
    <cfRule type="expression" dxfId="430" priority="25">
      <formula>$M$17&gt;$K$17</formula>
    </cfRule>
  </conditionalFormatting>
  <conditionalFormatting sqref="M21:M65">
    <cfRule type="cellIs" dxfId="429" priority="5" operator="greaterThan">
      <formula>3</formula>
    </cfRule>
    <cfRule type="cellIs" dxfId="428" priority="6" operator="equal">
      <formula>3</formula>
    </cfRule>
    <cfRule type="cellIs" dxfId="427" priority="7" operator="equal">
      <formula>2</formula>
    </cfRule>
    <cfRule type="cellIs" dxfId="426" priority="8" operator="equal">
      <formula>1</formula>
    </cfRule>
  </conditionalFormatting>
  <conditionalFormatting sqref="N91:P100">
    <cfRule type="cellIs" dxfId="425" priority="21" operator="equal">
      <formula>0</formula>
    </cfRule>
  </conditionalFormatting>
  <conditionalFormatting sqref="O6:O15">
    <cfRule type="colorScale" priority="37">
      <colorScale>
        <cfvo type="min"/>
        <cfvo type="max"/>
        <color rgb="FFFCFCFF"/>
        <color rgb="FF63BE7B"/>
      </colorScale>
    </cfRule>
    <cfRule type="cellIs" dxfId="424" priority="38" operator="lessThan">
      <formula>0.00001</formula>
    </cfRule>
  </conditionalFormatting>
  <conditionalFormatting sqref="P6:P15">
    <cfRule type="colorScale" priority="35">
      <colorScale>
        <cfvo type="min"/>
        <cfvo type="max"/>
        <color rgb="FFFCFCFF"/>
        <color rgb="FF63BE7B"/>
      </colorScale>
    </cfRule>
    <cfRule type="cellIs" dxfId="423" priority="36" operator="equal">
      <formula>0</formula>
    </cfRule>
  </conditionalFormatting>
  <conditionalFormatting sqref="Q102:Z111">
    <cfRule type="cellIs" dxfId="422" priority="26" operator="equal">
      <formula>0</formula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1:R88 S82:S88 T83:T88 U84:U88 V85:V88 W86:W88">
    <cfRule type="cellIs" dxfId="421" priority="33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20" priority="28" operator="notEqual">
      <formula>0</formula>
    </cfRule>
  </conditionalFormatting>
  <dataValidations count="3">
    <dataValidation type="whole" allowBlank="1" showInputMessage="1" showErrorMessage="1" sqref="M66 M74" xr:uid="{00000000-0002-0000-0200-000000000000}">
      <formula1>1</formula1>
      <formula2>9</formula2>
    </dataValidation>
    <dataValidation type="list" allowBlank="1" showInputMessage="1" showErrorMessage="1" sqref="K21:K65 K74" xr:uid="{00000000-0002-0000-0200-000001000000}">
      <formula1>$O$19:$O$20</formula1>
      <formula2>0</formula2>
    </dataValidation>
    <dataValidation type="decimal" allowBlank="1" showInputMessage="1" showErrorMessage="1" sqref="L21:L65" xr:uid="{00000000-0002-0000-0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34"/>
  <sheetViews>
    <sheetView zoomScale="159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2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0.49338596673675122</v>
      </c>
      <c r="P6" s="154">
        <f t="shared" ref="P6:P15" si="1">N91*SINH(P79)/O$101</f>
        <v>0.11201024892026545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0.19580035065606652</v>
      </c>
      <c r="P7" s="154">
        <f t="shared" si="1"/>
        <v>4.4451296741812314E-2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0.31081368260718228</v>
      </c>
      <c r="P8" s="154">
        <f t="shared" si="1"/>
        <v>7.0562035209303486E-2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103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5.5949056634989128E-2</v>
      </c>
      <c r="N17" s="27"/>
      <c r="O17" s="164">
        <f>Summary!K5</f>
        <v>1</v>
      </c>
      <c r="P17" s="7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75</v>
      </c>
      <c r="L21" s="188">
        <v>2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2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75</v>
      </c>
      <c r="L22" s="197">
        <v>2</v>
      </c>
      <c r="M22" s="189" t="str">
        <f t="shared" ca="1" si="4"/>
        <v/>
      </c>
      <c r="N22" s="190" t="str">
        <f t="shared" ca="1" si="5"/>
        <v/>
      </c>
      <c r="O22" s="191">
        <f t="shared" si="6"/>
        <v>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2</v>
      </c>
      <c r="M28" s="189" t="str">
        <f t="shared" ca="1" si="4"/>
        <v/>
      </c>
      <c r="N28" s="190" t="str">
        <f t="shared" ca="1" si="5"/>
        <v/>
      </c>
      <c r="O28" s="191">
        <f t="shared" si="6"/>
        <v>0.5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2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2</v>
      </c>
      <c r="E79" s="248">
        <f t="shared" si="9"/>
        <v>2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0.23104906018664842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5.3383668213133458E-2</v>
      </c>
      <c r="S79" s="229">
        <f t="shared" si="11"/>
        <v>5.3383668213133499E-2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0.5</v>
      </c>
      <c r="D80" s="247">
        <v>1</v>
      </c>
      <c r="E80" s="248">
        <f t="shared" ref="E80:L80" si="13">IF(ISNA(VLOOKUP(($B80*10+E$78),$A$21:$O$65,15,0)),0,VLOOKUP(($B80*10+E$78),$A$21:$O$65,15,0))</f>
        <v>0.5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0.23104906018664842</v>
      </c>
      <c r="Q80" s="229">
        <f t="shared" si="11"/>
        <v>5.3383668213133499E-2</v>
      </c>
      <c r="R80" s="228">
        <f t="shared" si="11"/>
        <v>0</v>
      </c>
      <c r="S80" s="229">
        <f t="shared" si="11"/>
        <v>5.3383668213133458E-2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0.5</v>
      </c>
      <c r="D81" s="248">
        <f t="shared" ref="D81:D88" si="14">IF(ISNA(VLOOKUP((10*D$78+$B81),$A$21:$O$65,15,0)),0,1/VLOOKUP((10*D$78+$B81),$A$21:$O$65,15,0))</f>
        <v>2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0.23104906018664848</v>
      </c>
      <c r="Q81" s="229">
        <f t="shared" si="11"/>
        <v>5.338366821313352E-2</v>
      </c>
      <c r="R81" s="229">
        <f t="shared" si="11"/>
        <v>5.3383668213133499E-2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2</v>
      </c>
      <c r="D89" s="251">
        <f t="shared" si="19"/>
        <v>5</v>
      </c>
      <c r="E89" s="251">
        <f t="shared" si="19"/>
        <v>3.5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0.69314718055994529</v>
      </c>
      <c r="E91" s="229">
        <f t="shared" si="20"/>
        <v>0.69314718055994529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1.5874010519681994</v>
      </c>
      <c r="N91" s="252">
        <f t="shared" ref="N91:N100" si="22">IF(B91&lt;=K$1,M91/M$101,0)</f>
        <v>0.49338596673675128</v>
      </c>
      <c r="O91" s="234">
        <f t="shared" ref="O91:O100" si="23">N91*COSH(P79)</f>
        <v>0.50661403326324883</v>
      </c>
      <c r="P91" s="234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-0.69314718055994529</v>
      </c>
      <c r="D92" s="229">
        <f t="shared" si="24"/>
        <v>0</v>
      </c>
      <c r="E92" s="229">
        <f t="shared" si="24"/>
        <v>-0.69314718055994529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0.6299605249474366</v>
      </c>
      <c r="N92" s="252">
        <f t="shared" si="22"/>
        <v>0.19580035065606652</v>
      </c>
      <c r="O92" s="234">
        <f t="shared" si="23"/>
        <v>0.20104991233598343</v>
      </c>
      <c r="P92" s="234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-0.69314718055994529</v>
      </c>
      <c r="D93" s="229">
        <f t="shared" si="25"/>
        <v>0.69314718055994529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0.31081368260718234</v>
      </c>
      <c r="O93" s="234">
        <f t="shared" si="23"/>
        <v>0.31914684234025431</v>
      </c>
      <c r="P93" s="234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</row>
    <row r="97" spans="1:1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</row>
    <row r="98" spans="1:1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</row>
    <row r="99" spans="1:1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</row>
    <row r="100" spans="1:1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</row>
    <row r="101" spans="1:1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3.2173615769156356</v>
      </c>
      <c r="N101" s="236">
        <f>MMULT(C89:L89,N91:N100)</f>
        <v>3.0536215758789735</v>
      </c>
      <c r="O101" s="237">
        <f>SUM(O91:O100)</f>
        <v>1.0268107879394865</v>
      </c>
      <c r="P101" s="229"/>
    </row>
    <row r="102" spans="1:1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1.259921049894873</v>
      </c>
      <c r="E102" s="30">
        <f t="shared" ca="1" si="33"/>
        <v>1.2599210498948732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1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1.259921049894873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1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1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1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1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1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1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1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1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1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0.3968502629920499</v>
      </c>
      <c r="E113" s="30">
        <f t="shared" ca="1" si="37"/>
        <v>0.6299605249474366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1.5874010519681996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A3</v>
      </c>
      <c r="E124" s="30" t="str">
        <f t="shared" ca="1" si="41"/>
        <v>A2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B2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419" priority="16">
      <formula>ISBLANK($B$17)</formula>
    </cfRule>
  </conditionalFormatting>
  <conditionalFormatting sqref="B6:N15">
    <cfRule type="expression" dxfId="418" priority="30">
      <formula>$B6&lt;&gt;""</formula>
    </cfRule>
  </conditionalFormatting>
  <conditionalFormatting sqref="C77:I77 N77 A79:A86">
    <cfRule type="cellIs" dxfId="417" priority="2" operator="equal">
      <formula>"n/a"</formula>
    </cfRule>
  </conditionalFormatting>
  <conditionalFormatting sqref="C91:L100">
    <cfRule type="cellIs" dxfId="416" priority="14" operator="equal">
      <formula>0</formula>
    </cfRule>
  </conditionalFormatting>
  <conditionalFormatting sqref="C102:L111">
    <cfRule type="cellIs" dxfId="415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41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413" priority="4" operator="notEqual">
      <formula>0</formula>
    </cfRule>
  </conditionalFormatting>
  <conditionalFormatting sqref="G17">
    <cfRule type="expression" dxfId="412" priority="13">
      <formula>ISBLANK($G$17)</formula>
    </cfRule>
  </conditionalFormatting>
  <conditionalFormatting sqref="K21:L65">
    <cfRule type="expression" dxfId="411" priority="8">
      <formula>AND($A21&gt;0,OR($K21="",$L21=""))</formula>
    </cfRule>
    <cfRule type="expression" dxfId="410" priority="9">
      <formula>($A21=0)</formula>
    </cfRule>
  </conditionalFormatting>
  <conditionalFormatting sqref="K27:L27">
    <cfRule type="cellIs" dxfId="409" priority="3" operator="equal">
      <formula>""" """</formula>
    </cfRule>
  </conditionalFormatting>
  <conditionalFormatting sqref="M17">
    <cfRule type="expression" dxfId="408" priority="17">
      <formula>$M$17&gt;$K$17</formula>
    </cfRule>
  </conditionalFormatting>
  <conditionalFormatting sqref="M21:M65">
    <cfRule type="cellIs" dxfId="407" priority="18" operator="greaterThan">
      <formula>3</formula>
    </cfRule>
    <cfRule type="cellIs" dxfId="406" priority="19" operator="equal">
      <formula>3</formula>
    </cfRule>
    <cfRule type="cellIs" dxfId="405" priority="20" operator="equal">
      <formula>2</formula>
    </cfRule>
    <cfRule type="cellIs" dxfId="404" priority="21" operator="equal">
      <formula>1</formula>
    </cfRule>
  </conditionalFormatting>
  <conditionalFormatting sqref="N91:P100">
    <cfRule type="cellIs" dxfId="403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402" priority="35" operator="lessThan">
      <formula>0.00001</formula>
    </cfRule>
  </conditionalFormatting>
  <conditionalFormatting sqref="P6:P15">
    <cfRule type="colorScale" priority="32">
      <colorScale>
        <cfvo type="min"/>
        <cfvo type="max"/>
        <color rgb="FFFCFCFF"/>
        <color rgb="FF63BE7B"/>
      </colorScale>
    </cfRule>
    <cfRule type="cellIs" dxfId="401" priority="33" operator="equal">
      <formula>0</formula>
    </cfRule>
  </conditionalFormatting>
  <conditionalFormatting sqref="R81:R88 S82:S88 T83:T88 U84:U88 V85:V88 W86:W88">
    <cfRule type="cellIs" dxfId="400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99" priority="22" operator="notEqual">
      <formula>0</formula>
    </cfRule>
  </conditionalFormatting>
  <dataValidations count="3">
    <dataValidation type="list" allowBlank="1" showInputMessage="1" showErrorMessage="1" sqref="K21:K65 K74" xr:uid="{00000000-0002-0000-0300-000000000000}">
      <formula1>$O$19:$O$20</formula1>
      <formula2>0</formula2>
    </dataValidation>
    <dataValidation type="whole" allowBlank="1" showInputMessage="1" showErrorMessage="1" sqref="M66 M74" xr:uid="{00000000-0002-0000-0300-000001000000}">
      <formula1>1</formula1>
      <formula2>9</formula2>
    </dataValidation>
    <dataValidation type="decimal" allowBlank="1" showInputMessage="1" showErrorMessage="1" sqref="L21:L65" xr:uid="{00000000-0002-0000-0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34"/>
  <sheetViews>
    <sheetView zoomScale="204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3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0.54994560729758357</v>
      </c>
      <c r="P6" s="154">
        <f t="shared" ref="P6:P15" si="1">N91*SINH(P79)/O$101</f>
        <v>7.3878621175553952E-2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0.20984352310106186</v>
      </c>
      <c r="P7" s="154">
        <f t="shared" si="1"/>
        <v>2.8189969959952956E-2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0.24021086960135465</v>
      </c>
      <c r="P8" s="154">
        <f t="shared" si="1"/>
        <v>3.2269460110308769E-2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104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1.9088801429080666E-2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75</v>
      </c>
      <c r="L21" s="188">
        <v>3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3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75</v>
      </c>
      <c r="L22" s="197">
        <v>2</v>
      </c>
      <c r="M22" s="189" t="str">
        <f t="shared" ca="1" si="4"/>
        <v/>
      </c>
      <c r="N22" s="190" t="str">
        <f t="shared" ca="1" si="5"/>
        <v/>
      </c>
      <c r="O22" s="191">
        <f t="shared" si="6"/>
        <v>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75</v>
      </c>
      <c r="L28" s="197">
        <v>1</v>
      </c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188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</row>
    <row r="67" spans="1:26" ht="12.75" hidden="1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hidden="1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hidden="1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hidden="1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hidden="1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hidden="1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hidden="1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collapsed="1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3</v>
      </c>
      <c r="I76" s="6"/>
      <c r="J76" s="6"/>
      <c r="K76" s="6"/>
      <c r="L76" s="6"/>
      <c r="M76" s="6"/>
      <c r="N76" s="113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34"/>
      <c r="R77" s="334"/>
      <c r="S77" s="334"/>
      <c r="T77" s="6"/>
      <c r="U77" s="6"/>
      <c r="V77" s="6"/>
      <c r="W77" s="6"/>
      <c r="X77" s="6"/>
      <c r="Y77" s="6"/>
      <c r="Z77" s="6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3</v>
      </c>
      <c r="E79" s="248">
        <f t="shared" si="9"/>
        <v>2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0.13515503603605467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1.8266883765907221E-2</v>
      </c>
      <c r="S79" s="229">
        <f t="shared" si="11"/>
        <v>1.8266883765907259E-2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0.33333333333333331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0.1351550360360548</v>
      </c>
      <c r="Q80" s="229">
        <f t="shared" si="11"/>
        <v>1.8266883765907221E-2</v>
      </c>
      <c r="R80" s="228">
        <f t="shared" si="11"/>
        <v>0</v>
      </c>
      <c r="S80" s="229">
        <f t="shared" si="11"/>
        <v>1.8266883765907325E-2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0.5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0.13515503603605492</v>
      </c>
      <c r="Q81" s="229">
        <f t="shared" si="11"/>
        <v>1.8266883765907273E-2</v>
      </c>
      <c r="R81" s="229">
        <f t="shared" si="11"/>
        <v>1.8266883765907325E-2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1.8333333333333333</v>
      </c>
      <c r="D89" s="251">
        <f t="shared" si="19"/>
        <v>5</v>
      </c>
      <c r="E89" s="251">
        <f t="shared" si="19"/>
        <v>4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1.0986122886681098</v>
      </c>
      <c r="E91" s="229">
        <f t="shared" si="20"/>
        <v>0.69314718055994529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1.8171205928321397</v>
      </c>
      <c r="N91" s="253">
        <f t="shared" ref="N91:N100" si="22">IF(B91&lt;=K$1,M91/M$101,0)</f>
        <v>0.54994560729758357</v>
      </c>
      <c r="O91" s="234">
        <f t="shared" ref="O91:O100" si="23">N91*COSH(P79)</f>
        <v>0.55497615425294722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-1.0986122886681098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0.69336127435063466</v>
      </c>
      <c r="N92" s="253">
        <f t="shared" si="22"/>
        <v>0.2098435231010618</v>
      </c>
      <c r="O92" s="234">
        <f t="shared" si="23"/>
        <v>0.21176303601694121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-0.69314718055994529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0.79370052598409979</v>
      </c>
      <c r="N93" s="253">
        <f t="shared" si="22"/>
        <v>0.2402108696013546</v>
      </c>
      <c r="O93" s="234">
        <f t="shared" si="23"/>
        <v>0.24240816337492685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3.3041823931668741</v>
      </c>
      <c r="N101" s="236">
        <f>MMULT(C89:L89,N91:N100)</f>
        <v>3.0182947072896309</v>
      </c>
      <c r="O101" s="237">
        <f>SUM(O91:O100)</f>
        <v>1.0091473536448152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1.1447142425533317</v>
      </c>
      <c r="E102" s="30">
        <f t="shared" ca="1" si="33"/>
        <v>1.1447142425533319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1.1447142425533321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0.3815714141844439</v>
      </c>
      <c r="E113" s="30">
        <f t="shared" ca="1" si="37"/>
        <v>0.43679023236814946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1.1447142425533321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A3</v>
      </c>
      <c r="E124" s="30" t="str">
        <f t="shared" ca="1" si="41"/>
        <v>A2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98" priority="16">
      <formula>ISBLANK($B$17)</formula>
    </cfRule>
  </conditionalFormatting>
  <conditionalFormatting sqref="B6:N15">
    <cfRule type="expression" dxfId="397" priority="29">
      <formula>$B6&lt;&gt;""</formula>
    </cfRule>
  </conditionalFormatting>
  <conditionalFormatting sqref="C77:I77 N77 A79:A86">
    <cfRule type="cellIs" dxfId="396" priority="2" operator="equal">
      <formula>"n/a"</formula>
    </cfRule>
  </conditionalFormatting>
  <conditionalFormatting sqref="C91:L100">
    <cfRule type="cellIs" dxfId="395" priority="14" operator="equal">
      <formula>0</formula>
    </cfRule>
  </conditionalFormatting>
  <conditionalFormatting sqref="C102:L111">
    <cfRule type="cellIs" dxfId="394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9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92" priority="4" operator="notEqual">
      <formula>0</formula>
    </cfRule>
  </conditionalFormatting>
  <conditionalFormatting sqref="G17">
    <cfRule type="expression" dxfId="391" priority="13">
      <formula>ISBLANK($G$17)</formula>
    </cfRule>
  </conditionalFormatting>
  <conditionalFormatting sqref="K21:L65">
    <cfRule type="expression" dxfId="390" priority="8">
      <formula>AND($A21&gt;0,OR($K21="",$L21=""))</formula>
    </cfRule>
    <cfRule type="expression" dxfId="389" priority="9">
      <formula>($A21=0)</formula>
    </cfRule>
  </conditionalFormatting>
  <conditionalFormatting sqref="K27:L27">
    <cfRule type="cellIs" dxfId="388" priority="3" operator="equal">
      <formula>""" """</formula>
    </cfRule>
  </conditionalFormatting>
  <conditionalFormatting sqref="M17">
    <cfRule type="expression" dxfId="387" priority="17">
      <formula>$M$17&gt;$K$17</formula>
    </cfRule>
  </conditionalFormatting>
  <conditionalFormatting sqref="M21:M65">
    <cfRule type="cellIs" dxfId="386" priority="18" operator="greaterThan">
      <formula>3</formula>
    </cfRule>
    <cfRule type="cellIs" dxfId="385" priority="19" operator="equal">
      <formula>3</formula>
    </cfRule>
    <cfRule type="cellIs" dxfId="384" priority="20" operator="equal">
      <formula>2</formula>
    </cfRule>
    <cfRule type="cellIs" dxfId="383" priority="21" operator="equal">
      <formula>1</formula>
    </cfRule>
  </conditionalFormatting>
  <conditionalFormatting sqref="N91:P100">
    <cfRule type="cellIs" dxfId="382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81" priority="35" operator="lessThan">
      <formula>0.00001</formula>
    </cfRule>
  </conditionalFormatting>
  <conditionalFormatting sqref="P6:P15">
    <cfRule type="colorScale" priority="32">
      <colorScale>
        <cfvo type="min"/>
        <cfvo type="max"/>
        <color rgb="FFFCFCFF"/>
        <color rgb="FF63BE7B"/>
      </colorScale>
    </cfRule>
    <cfRule type="cellIs" dxfId="380" priority="33" operator="equal">
      <formula>0</formula>
    </cfRule>
  </conditionalFormatting>
  <conditionalFormatting sqref="R81:R88 S82:S88 T83:T88 U84:U88 V85:V88 W86:W88">
    <cfRule type="cellIs" dxfId="379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78" priority="22" operator="notEqual">
      <formula>0</formula>
    </cfRule>
  </conditionalFormatting>
  <dataValidations count="3">
    <dataValidation type="whole" allowBlank="1" showInputMessage="1" showErrorMessage="1" sqref="M66 M74" xr:uid="{00000000-0002-0000-0400-000000000000}">
      <formula1>1</formula1>
      <formula2>9</formula2>
    </dataValidation>
    <dataValidation type="list" allowBlank="1" showInputMessage="1" showErrorMessage="1" sqref="K21:K65 K74" xr:uid="{00000000-0002-0000-0400-000001000000}">
      <formula1>$O$19:$O$20</formula1>
      <formula2>0</formula2>
    </dataValidation>
    <dataValidation type="decimal" allowBlank="1" showInputMessage="1" showErrorMessage="1" sqref="L21:L65" xr:uid="{00000000-0002-0000-0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34"/>
  <sheetViews>
    <sheetView zoomScale="178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4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0.13516346256146372</v>
      </c>
      <c r="P6" s="154">
        <f t="shared" ref="P6:P15" si="1">N91*SINH(P79)/O$101</f>
        <v>4.0045437551366816E-2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0.36689008389680322</v>
      </c>
      <c r="P7" s="154">
        <f t="shared" si="1"/>
        <v>0.10870004115368131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0.497946453541733</v>
      </c>
      <c r="P8" s="154">
        <f t="shared" si="1"/>
        <v>0.14752865331607196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105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9.8095897355519726E-2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78</v>
      </c>
      <c r="L21" s="188">
        <v>2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0.5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5</v>
      </c>
      <c r="M22" s="189" t="str">
        <f t="shared" ca="1" si="4"/>
        <v/>
      </c>
      <c r="N22" s="190" t="str">
        <f t="shared" ca="1" si="5"/>
        <v/>
      </c>
      <c r="O22" s="191">
        <f t="shared" si="6"/>
        <v>0.2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75</v>
      </c>
      <c r="L28" s="197">
        <v>1</v>
      </c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4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0.5</v>
      </c>
      <c r="E79" s="248">
        <f t="shared" si="9"/>
        <v>0.2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0.30543024395805163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9.3287633924274999E-2</v>
      </c>
      <c r="S79" s="229">
        <f t="shared" si="11"/>
        <v>9.328763392427486E-2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2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0.30543024395805174</v>
      </c>
      <c r="Q80" s="229">
        <f t="shared" si="11"/>
        <v>9.3287633924274971E-2</v>
      </c>
      <c r="R80" s="228">
        <f t="shared" si="11"/>
        <v>0</v>
      </c>
      <c r="S80" s="229">
        <f t="shared" si="11"/>
        <v>9.3287633924274999E-2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5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0.30543024395805174</v>
      </c>
      <c r="Q81" s="229">
        <f t="shared" si="11"/>
        <v>9.3287633924274999E-2</v>
      </c>
      <c r="R81" s="229">
        <f t="shared" si="11"/>
        <v>9.3287633924274971E-2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8</v>
      </c>
      <c r="D89" s="251">
        <f t="shared" si="19"/>
        <v>2.5</v>
      </c>
      <c r="E89" s="251">
        <f t="shared" si="19"/>
        <v>2.2000000000000002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-0.69314718055994529</v>
      </c>
      <c r="E91" s="229">
        <f t="shared" si="20"/>
        <v>-1.6094379124341003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0.46415888336127792</v>
      </c>
      <c r="N91" s="252">
        <f t="shared" ref="N91:N100" si="22">IF(B91&lt;=K$1,M91/M$101,0)</f>
        <v>0.13516346256146369</v>
      </c>
      <c r="O91" s="234">
        <f t="shared" ref="O91:O100" si="23">N91*COSH(P79)</f>
        <v>0.14151716632837408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0.69314718055994529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1.2599210498948732</v>
      </c>
      <c r="N92" s="252">
        <f t="shared" si="22"/>
        <v>0.36689008389680317</v>
      </c>
      <c r="O92" s="234">
        <f t="shared" si="23"/>
        <v>0.38413668933233008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1.6094379124341003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1.7099759466766971</v>
      </c>
      <c r="N93" s="252">
        <f t="shared" si="22"/>
        <v>0.49794645354173289</v>
      </c>
      <c r="O93" s="234">
        <f t="shared" si="23"/>
        <v>0.5213536983520608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3.4340558799328491</v>
      </c>
      <c r="N101" s="236">
        <f>MMULT(C89:L89,N91:N100)</f>
        <v>3.09401510802553</v>
      </c>
      <c r="O101" s="237">
        <f>SUM(O91:O100)</f>
        <v>1.047007554012765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1.3572088082974534</v>
      </c>
      <c r="E102" s="30">
        <f t="shared" ca="1" si="33"/>
        <v>1.3572088082974532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1.3572088082974534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2.7144176165949068</v>
      </c>
      <c r="E113" s="30">
        <f t="shared" ca="1" si="37"/>
        <v>3.6840314986403868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1.3572088082974534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B3</v>
      </c>
      <c r="E124" s="30" t="str">
        <f t="shared" ca="1" si="41"/>
        <v>B4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77" priority="16">
      <formula>ISBLANK($B$17)</formula>
    </cfRule>
  </conditionalFormatting>
  <conditionalFormatting sqref="B6:N15">
    <cfRule type="expression" dxfId="376" priority="30">
      <formula>$B6&lt;&gt;""</formula>
    </cfRule>
  </conditionalFormatting>
  <conditionalFormatting sqref="C77:I77 N77 A79:A86">
    <cfRule type="cellIs" dxfId="375" priority="2" operator="equal">
      <formula>"n/a"</formula>
    </cfRule>
  </conditionalFormatting>
  <conditionalFormatting sqref="C91:L100">
    <cfRule type="cellIs" dxfId="374" priority="14" operator="equal">
      <formula>0</formula>
    </cfRule>
  </conditionalFormatting>
  <conditionalFormatting sqref="C102:L111">
    <cfRule type="cellIs" dxfId="373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7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71" priority="4" operator="notEqual">
      <formula>0</formula>
    </cfRule>
  </conditionalFormatting>
  <conditionalFormatting sqref="G17">
    <cfRule type="expression" dxfId="370" priority="13">
      <formula>ISBLANK($G$17)</formula>
    </cfRule>
  </conditionalFormatting>
  <conditionalFormatting sqref="K21:L65">
    <cfRule type="expression" dxfId="369" priority="8">
      <formula>AND($A21&gt;0,OR($K21="",$L21=""))</formula>
    </cfRule>
    <cfRule type="expression" dxfId="368" priority="9">
      <formula>($A21=0)</formula>
    </cfRule>
  </conditionalFormatting>
  <conditionalFormatting sqref="K27:L27">
    <cfRule type="cellIs" dxfId="367" priority="3" operator="equal">
      <formula>""" """</formula>
    </cfRule>
  </conditionalFormatting>
  <conditionalFormatting sqref="M17">
    <cfRule type="expression" dxfId="366" priority="17">
      <formula>$M$17&gt;$K$17</formula>
    </cfRule>
  </conditionalFormatting>
  <conditionalFormatting sqref="M21:M65">
    <cfRule type="cellIs" dxfId="365" priority="18" operator="greaterThan">
      <formula>3</formula>
    </cfRule>
    <cfRule type="cellIs" dxfId="364" priority="19" operator="equal">
      <formula>3</formula>
    </cfRule>
    <cfRule type="cellIs" dxfId="363" priority="20" operator="equal">
      <formula>2</formula>
    </cfRule>
    <cfRule type="cellIs" dxfId="362" priority="21" operator="equal">
      <formula>1</formula>
    </cfRule>
  </conditionalFormatting>
  <conditionalFormatting sqref="N91:P100">
    <cfRule type="cellIs" dxfId="361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60" priority="35" operator="lessThan">
      <formula>0.00001</formula>
    </cfRule>
  </conditionalFormatting>
  <conditionalFormatting sqref="P6:P12 P14">
    <cfRule type="colorScale" priority="32">
      <colorScale>
        <cfvo type="min"/>
        <cfvo type="max"/>
        <color rgb="FFFCFCFF"/>
        <color rgb="FF63BE7B"/>
      </colorScale>
    </cfRule>
  </conditionalFormatting>
  <conditionalFormatting sqref="P6:P15">
    <cfRule type="cellIs" dxfId="359" priority="33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358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57" priority="22" operator="notEqual">
      <formula>0</formula>
    </cfRule>
  </conditionalFormatting>
  <dataValidations count="3">
    <dataValidation type="list" allowBlank="1" showInputMessage="1" showErrorMessage="1" sqref="K21:K65 K74" xr:uid="{00000000-0002-0000-0500-000000000000}">
      <formula1>$O$19:$O$20</formula1>
      <formula2>0</formula2>
    </dataValidation>
    <dataValidation type="whole" allowBlank="1" showInputMessage="1" showErrorMessage="1" sqref="M66 M74" xr:uid="{00000000-0002-0000-0500-000001000000}">
      <formula1>1</formula1>
      <formula2>9</formula2>
    </dataValidation>
    <dataValidation type="decimal" allowBlank="1" showInputMessage="1" showErrorMessage="1" sqref="L21:L65" xr:uid="{00000000-0002-0000-0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34"/>
  <sheetViews>
    <sheetView zoomScale="16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5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/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  <c r="P3" s="6"/>
    </row>
    <row r="4" spans="1:17" ht="37.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  <c r="P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0.31081368260718228</v>
      </c>
      <c r="P6" s="154">
        <f t="shared" ref="P6:P15" si="1">N91*SINH(P79)/O$101</f>
        <v>7.0562035209303486E-2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0.19580035065606652</v>
      </c>
      <c r="P7" s="154">
        <f t="shared" si="1"/>
        <v>4.4451296741812314E-2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0.49338596673675122</v>
      </c>
      <c r="P8" s="154">
        <f t="shared" si="1"/>
        <v>0.11201024892026545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7"/>
      <c r="Q16" s="3"/>
    </row>
    <row r="17" spans="1:24" ht="12.75" customHeight="1" x14ac:dyDescent="0.3">
      <c r="A17" s="6"/>
      <c r="B17" s="328" t="s">
        <v>106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5.5949056634988663E-2</v>
      </c>
      <c r="N17" s="27"/>
      <c r="O17" s="164">
        <f>Summary!K5</f>
        <v>1</v>
      </c>
      <c r="P17" s="7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7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 t="s">
        <v>75</v>
      </c>
      <c r="L21" s="188">
        <v>2</v>
      </c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2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 t="s">
        <v>78</v>
      </c>
      <c r="L22" s="197">
        <v>2</v>
      </c>
      <c r="M22" s="189" t="str">
        <f t="shared" ca="1" si="4"/>
        <v/>
      </c>
      <c r="N22" s="190" t="str">
        <f t="shared" ca="1" si="5"/>
        <v/>
      </c>
      <c r="O22" s="191">
        <f t="shared" si="6"/>
        <v>0.5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 t="s">
        <v>78</v>
      </c>
      <c r="L28" s="197">
        <v>2</v>
      </c>
      <c r="M28" s="189" t="str">
        <f t="shared" ca="1" si="4"/>
        <v/>
      </c>
      <c r="N28" s="190" t="str">
        <f t="shared" ca="1" si="5"/>
        <v/>
      </c>
      <c r="O28" s="191">
        <f t="shared" si="6"/>
        <v>0.5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collapsed="1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3</v>
      </c>
      <c r="M66" s="217"/>
      <c r="N66" s="6"/>
      <c r="O66" s="6"/>
      <c r="P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  <c r="P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  <c r="P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  <c r="P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  <c r="P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  <c r="P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  <c r="P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  <c r="P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  <c r="P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5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2</v>
      </c>
      <c r="E79" s="248">
        <f t="shared" si="9"/>
        <v>0.5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0.23104906018664848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5.3383668213133499E-2</v>
      </c>
      <c r="S79" s="229">
        <f t="shared" si="11"/>
        <v>5.338366821313352E-2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0.5</v>
      </c>
      <c r="D80" s="247">
        <v>1</v>
      </c>
      <c r="E80" s="248">
        <f t="shared" ref="E80:L80" si="13">IF(ISNA(VLOOKUP(($B80*10+E$78),$A$21:$O$65,15,0)),0,VLOOKUP(($B80*10+E$78),$A$21:$O$65,15,0))</f>
        <v>0.5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0.23104906018664842</v>
      </c>
      <c r="Q80" s="229">
        <f t="shared" si="11"/>
        <v>5.3383668213133458E-2</v>
      </c>
      <c r="R80" s="228">
        <f t="shared" si="11"/>
        <v>0</v>
      </c>
      <c r="S80" s="229">
        <f t="shared" si="11"/>
        <v>5.3383668213133499E-2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2</v>
      </c>
      <c r="D81" s="248">
        <f t="shared" ref="D81:D88" si="14">IF(ISNA(VLOOKUP((10*D$78+$B81),$A$21:$O$65,15,0)),0,1/VLOOKUP((10*D$78+$B81),$A$21:$O$65,15,0))</f>
        <v>2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0.23104906018664842</v>
      </c>
      <c r="Q81" s="229">
        <f t="shared" si="11"/>
        <v>5.3383668213133499E-2</v>
      </c>
      <c r="R81" s="229">
        <f t="shared" si="11"/>
        <v>5.3383668213133458E-2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3.5</v>
      </c>
      <c r="D89" s="251">
        <f t="shared" si="19"/>
        <v>5</v>
      </c>
      <c r="E89" s="251">
        <f t="shared" si="19"/>
        <v>2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0.69314718055994529</v>
      </c>
      <c r="E91" s="229">
        <f t="shared" si="20"/>
        <v>-0.69314718055994529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0.31081368260718234</v>
      </c>
      <c r="O91" s="234">
        <f t="shared" ref="O91:O100" si="23">N91*COSH(P79)</f>
        <v>0.31914684234025431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-0.69314718055994529</v>
      </c>
      <c r="D92" s="229">
        <f t="shared" si="24"/>
        <v>0</v>
      </c>
      <c r="E92" s="229">
        <f t="shared" si="24"/>
        <v>-0.69314718055994529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0.6299605249474366</v>
      </c>
      <c r="N92" s="252">
        <f t="shared" si="22"/>
        <v>0.19580035065606652</v>
      </c>
      <c r="O92" s="234">
        <f t="shared" si="23"/>
        <v>0.20104991233598343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0.69314718055994529</v>
      </c>
      <c r="D93" s="229">
        <f t="shared" si="25"/>
        <v>0.69314718055994529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1.5874010519681994</v>
      </c>
      <c r="N93" s="252">
        <f t="shared" si="22"/>
        <v>0.49338596673675128</v>
      </c>
      <c r="O93" s="234">
        <f t="shared" si="23"/>
        <v>0.50661403326324883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3.2173615769156356</v>
      </c>
      <c r="N101" s="236">
        <f>MMULT(C89:L89,N91:N100)</f>
        <v>3.0536215758789731</v>
      </c>
      <c r="O101" s="237">
        <f>SUM(O91:O100)</f>
        <v>1.0268107879394865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1.2599210498948732</v>
      </c>
      <c r="E102" s="30">
        <f t="shared" ca="1" si="33"/>
        <v>1.2599210498948732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1.2599210498948732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0.6299605249474366</v>
      </c>
      <c r="E113" s="30">
        <f t="shared" ca="1" si="37"/>
        <v>1.5874010519681994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2.5198420997897464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A2</v>
      </c>
      <c r="E124" s="30" t="str">
        <f t="shared" ca="1" si="41"/>
        <v>B2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B3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  <row r="134" spans="1:14" collapsed="1" x14ac:dyDescent="0.25"/>
  </sheetData>
  <sheetProtection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56" priority="16">
      <formula>ISBLANK($B$17)</formula>
    </cfRule>
  </conditionalFormatting>
  <conditionalFormatting sqref="B6:N15">
    <cfRule type="expression" dxfId="355" priority="32">
      <formula>$B6&lt;&gt;""</formula>
    </cfRule>
  </conditionalFormatting>
  <conditionalFormatting sqref="C77:I77 N77 A79:A86">
    <cfRule type="cellIs" dxfId="354" priority="2" operator="equal">
      <formula>"n/a"</formula>
    </cfRule>
  </conditionalFormatting>
  <conditionalFormatting sqref="C91:L100">
    <cfRule type="cellIs" dxfId="353" priority="14" operator="equal">
      <formula>0</formula>
    </cfRule>
  </conditionalFormatting>
  <conditionalFormatting sqref="C102:L111">
    <cfRule type="cellIs" dxfId="35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5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50" priority="4" operator="notEqual">
      <formula>0</formula>
    </cfRule>
  </conditionalFormatting>
  <conditionalFormatting sqref="G17">
    <cfRule type="expression" dxfId="349" priority="13">
      <formula>ISBLANK($G$17)</formula>
    </cfRule>
  </conditionalFormatting>
  <conditionalFormatting sqref="K21:L65">
    <cfRule type="expression" dxfId="348" priority="8">
      <formula>AND($A21&gt;0,OR($K21="",$L21=""))</formula>
    </cfRule>
    <cfRule type="expression" dxfId="347" priority="9">
      <formula>($A21=0)</formula>
    </cfRule>
  </conditionalFormatting>
  <conditionalFormatting sqref="K27:L27">
    <cfRule type="cellIs" dxfId="346" priority="3" operator="equal">
      <formula>""" """</formula>
    </cfRule>
  </conditionalFormatting>
  <conditionalFormatting sqref="M17">
    <cfRule type="expression" dxfId="345" priority="17">
      <formula>$M$17&gt;$K$17</formula>
    </cfRule>
  </conditionalFormatting>
  <conditionalFormatting sqref="M21:M65">
    <cfRule type="cellIs" dxfId="344" priority="18" operator="greaterThan">
      <formula>3</formula>
    </cfRule>
    <cfRule type="cellIs" dxfId="343" priority="19" operator="equal">
      <formula>3</formula>
    </cfRule>
    <cfRule type="cellIs" dxfId="342" priority="20" operator="equal">
      <formula>2</formula>
    </cfRule>
    <cfRule type="cellIs" dxfId="341" priority="21" operator="equal">
      <formula>1</formula>
    </cfRule>
  </conditionalFormatting>
  <conditionalFormatting sqref="N91:P100">
    <cfRule type="cellIs" dxfId="34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3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38" priority="35" operator="equal">
      <formula>0</formula>
    </cfRule>
  </conditionalFormatting>
  <conditionalFormatting sqref="R81:R88 S82:S88 T83:T88 U84:U88 V85:V88 W86:W88">
    <cfRule type="cellIs" dxfId="33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36" priority="24" operator="notEqual">
      <formula>0</formula>
    </cfRule>
  </conditionalFormatting>
  <dataValidations count="3">
    <dataValidation type="whole" allowBlank="1" showInputMessage="1" showErrorMessage="1" sqref="M66 M74" xr:uid="{00000000-0002-0000-0600-000000000000}">
      <formula1>1</formula1>
      <formula2>9</formula2>
    </dataValidation>
    <dataValidation type="list" allowBlank="1" showInputMessage="1" showErrorMessage="1" sqref="K21:K65 K74" xr:uid="{00000000-0002-0000-0600-000001000000}">
      <formula1>$O$19:$O$20</formula1>
      <formula2>0</formula2>
    </dataValidation>
    <dataValidation type="decimal" allowBlank="1" showInputMessage="1" showErrorMessage="1" sqref="L21:L65" xr:uid="{00000000-0002-0000-06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33"/>
  <sheetViews>
    <sheetView topLeftCell="D1"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6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107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6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35" priority="16">
      <formula>ISBLANK($B$17)</formula>
    </cfRule>
  </conditionalFormatting>
  <conditionalFormatting sqref="B6:N15">
    <cfRule type="expression" dxfId="334" priority="32">
      <formula>$B6&lt;&gt;""</formula>
    </cfRule>
  </conditionalFormatting>
  <conditionalFormatting sqref="C77:I77 N77 A79:A86">
    <cfRule type="cellIs" dxfId="333" priority="2" operator="equal">
      <formula>"n/a"</formula>
    </cfRule>
  </conditionalFormatting>
  <conditionalFormatting sqref="C91:L100">
    <cfRule type="cellIs" dxfId="332" priority="14" operator="equal">
      <formula>0</formula>
    </cfRule>
  </conditionalFormatting>
  <conditionalFormatting sqref="C102:L111">
    <cfRule type="cellIs" dxfId="33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3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29" priority="4" operator="notEqual">
      <formula>0</formula>
    </cfRule>
  </conditionalFormatting>
  <conditionalFormatting sqref="G17">
    <cfRule type="expression" dxfId="328" priority="13">
      <formula>ISBLANK($G$17)</formula>
    </cfRule>
  </conditionalFormatting>
  <conditionalFormatting sqref="K21:L65">
    <cfRule type="expression" dxfId="327" priority="8">
      <formula>AND($A21&gt;0,OR($K21="",$L21=""))</formula>
    </cfRule>
    <cfRule type="expression" dxfId="326" priority="9">
      <formula>($A21=0)</formula>
    </cfRule>
  </conditionalFormatting>
  <conditionalFormatting sqref="K27:L27">
    <cfRule type="cellIs" dxfId="325" priority="3" operator="equal">
      <formula>""" """</formula>
    </cfRule>
  </conditionalFormatting>
  <conditionalFormatting sqref="M17">
    <cfRule type="expression" dxfId="324" priority="17">
      <formula>$M$17&gt;$K$17</formula>
    </cfRule>
  </conditionalFormatting>
  <conditionalFormatting sqref="M21:M65">
    <cfRule type="cellIs" dxfId="323" priority="18" operator="greaterThan">
      <formula>3</formula>
    </cfRule>
    <cfRule type="cellIs" dxfId="322" priority="19" operator="equal">
      <formula>3</formula>
    </cfRule>
    <cfRule type="cellIs" dxfId="321" priority="20" operator="equal">
      <formula>2</formula>
    </cfRule>
    <cfRule type="cellIs" dxfId="320" priority="21" operator="equal">
      <formula>1</formula>
    </cfRule>
  </conditionalFormatting>
  <conditionalFormatting sqref="N91:P100">
    <cfRule type="cellIs" dxfId="31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1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17" priority="35" operator="equal">
      <formula>0</formula>
    </cfRule>
  </conditionalFormatting>
  <conditionalFormatting sqref="R81:R88 S82:S88 T83:T88 U84:U88 V85:V88 W86:W88">
    <cfRule type="cellIs" dxfId="31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15" priority="24" operator="notEqual">
      <formula>0</formula>
    </cfRule>
  </conditionalFormatting>
  <dataValidations count="3">
    <dataValidation type="list" allowBlank="1" showInputMessage="1" showErrorMessage="1" sqref="K21:K65 K74" xr:uid="{00000000-0002-0000-0700-000000000000}">
      <formula1>$O$19:$O$20</formula1>
      <formula2>0</formula2>
    </dataValidation>
    <dataValidation type="whole" allowBlank="1" showInputMessage="1" showErrorMessage="1" sqref="M66 M74" xr:uid="{00000000-0002-0000-0700-000001000000}">
      <formula1>1</formula1>
      <formula2>9</formula2>
    </dataValidation>
    <dataValidation type="decimal" allowBlank="1" showInputMessage="1" showErrorMessage="1" sqref="L21:L65" xr:uid="{00000000-0002-0000-07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7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108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91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7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14" priority="15">
      <formula>ISBLANK($B$17)</formula>
    </cfRule>
  </conditionalFormatting>
  <conditionalFormatting sqref="B6:N15">
    <cfRule type="expression" dxfId="313" priority="34">
      <formula>$B6&lt;&gt;""</formula>
    </cfRule>
  </conditionalFormatting>
  <conditionalFormatting sqref="C77:I77 N77 A79:A86">
    <cfRule type="cellIs" dxfId="312" priority="2" operator="equal">
      <formula>"n/a"</formula>
    </cfRule>
  </conditionalFormatting>
  <conditionalFormatting sqref="C91:L100">
    <cfRule type="cellIs" dxfId="311" priority="13" operator="equal">
      <formula>0</formula>
    </cfRule>
  </conditionalFormatting>
  <conditionalFormatting sqref="C102:L111">
    <cfRule type="cellIs" dxfId="310" priority="24" operator="equal">
      <formula>0</formula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09" priority="10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08" priority="3" operator="notEqual">
      <formula>0</formula>
    </cfRule>
  </conditionalFormatting>
  <conditionalFormatting sqref="G17">
    <cfRule type="expression" dxfId="307" priority="12">
      <formula>ISBLANK($G$17)</formula>
    </cfRule>
  </conditionalFormatting>
  <conditionalFormatting sqref="K21:L46">
    <cfRule type="expression" dxfId="306" priority="18">
      <formula>AND($A21&gt;0,OR($K21="",$L21=""))</formula>
    </cfRule>
    <cfRule type="expression" dxfId="305" priority="19">
      <formula>($A21=0)</formula>
    </cfRule>
  </conditionalFormatting>
  <conditionalFormatting sqref="K27:L27">
    <cfRule type="cellIs" dxfId="304" priority="17" operator="equal">
      <formula>""" """</formula>
    </cfRule>
  </conditionalFormatting>
  <conditionalFormatting sqref="K47:L65">
    <cfRule type="expression" dxfId="303" priority="7">
      <formula>AND($A47&gt;0,OR($K47="",$L47=""))</formula>
    </cfRule>
    <cfRule type="expression" dxfId="302" priority="8">
      <formula>($A47=0)</formula>
    </cfRule>
  </conditionalFormatting>
  <conditionalFormatting sqref="M17">
    <cfRule type="expression" dxfId="301" priority="16">
      <formula>$M$17&gt;$K$17</formula>
    </cfRule>
  </conditionalFormatting>
  <conditionalFormatting sqref="M21:M65">
    <cfRule type="cellIs" dxfId="300" priority="20" operator="greaterThan">
      <formula>3</formula>
    </cfRule>
    <cfRule type="cellIs" dxfId="299" priority="21" operator="equal">
      <formula>3</formula>
    </cfRule>
    <cfRule type="cellIs" dxfId="298" priority="22" operator="equal">
      <formula>2</formula>
    </cfRule>
    <cfRule type="cellIs" dxfId="297" priority="23" operator="equal">
      <formula>1</formula>
    </cfRule>
  </conditionalFormatting>
  <conditionalFormatting sqref="N91:P100">
    <cfRule type="cellIs" dxfId="296" priority="14" operator="equal">
      <formula>0</formula>
    </cfRule>
  </conditionalFormatting>
  <conditionalFormatting sqref="O6:O15">
    <cfRule type="colorScale" priority="38">
      <colorScale>
        <cfvo type="min"/>
        <cfvo type="max"/>
        <color rgb="FFFCFCFF"/>
        <color rgb="FF63BE7B"/>
      </colorScale>
    </cfRule>
    <cfRule type="cellIs" dxfId="295" priority="39" operator="lessThan">
      <formula>0.00001</formula>
    </cfRule>
  </conditionalFormatting>
  <conditionalFormatting sqref="P6:P15">
    <cfRule type="colorScale" priority="36">
      <colorScale>
        <cfvo type="min"/>
        <cfvo type="max"/>
        <color rgb="FFFCFCFF"/>
        <color rgb="FF63BE7B"/>
      </colorScale>
    </cfRule>
    <cfRule type="cellIs" dxfId="294" priority="37" operator="equal">
      <formula>0</formula>
    </cfRule>
  </conditionalFormatting>
  <conditionalFormatting sqref="R81:R88 S82:S88 T83:T88 U84:U88 V85:V88 W86:W88">
    <cfRule type="cellIs" dxfId="293" priority="31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92" priority="26" operator="notEqual">
      <formula>0</formula>
    </cfRule>
  </conditionalFormatting>
  <dataValidations count="3">
    <dataValidation type="whole" allowBlank="1" showInputMessage="1" showErrorMessage="1" sqref="M66 M74" xr:uid="{00000000-0002-0000-0800-000000000000}">
      <formula1>1</formula1>
      <formula2>9</formula2>
    </dataValidation>
    <dataValidation type="list" allowBlank="1" showInputMessage="1" showErrorMessage="1" sqref="K21:K65 K74" xr:uid="{00000000-0002-0000-0800-000001000000}">
      <formula1>$O$19:$O$20</formula1>
      <formula2>0</formula2>
    </dataValidation>
    <dataValidation type="decimal" allowBlank="1" showInputMessage="1" showErrorMessage="1" sqref="L21:L65" xr:uid="{00000000-0002-0000-08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8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109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8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91" priority="16">
      <formula>ISBLANK($B$17)</formula>
    </cfRule>
  </conditionalFormatting>
  <conditionalFormatting sqref="B6:N15">
    <cfRule type="expression" dxfId="290" priority="32">
      <formula>$B6&lt;&gt;""</formula>
    </cfRule>
  </conditionalFormatting>
  <conditionalFormatting sqref="C77:I77 N77 A79:A86">
    <cfRule type="cellIs" dxfId="289" priority="2" operator="equal">
      <formula>"n/a"</formula>
    </cfRule>
  </conditionalFormatting>
  <conditionalFormatting sqref="C91:L100">
    <cfRule type="cellIs" dxfId="288" priority="14" operator="equal">
      <formula>0</formula>
    </cfRule>
  </conditionalFormatting>
  <conditionalFormatting sqref="C102:L111">
    <cfRule type="cellIs" dxfId="28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8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85" priority="4" operator="notEqual">
      <formula>0</formula>
    </cfRule>
  </conditionalFormatting>
  <conditionalFormatting sqref="G17">
    <cfRule type="expression" dxfId="284" priority="13">
      <formula>ISBLANK($G$17)</formula>
    </cfRule>
  </conditionalFormatting>
  <conditionalFormatting sqref="K21:L65">
    <cfRule type="expression" dxfId="283" priority="8">
      <formula>AND($A21&gt;0,OR($K21="",$L21=""))</formula>
    </cfRule>
    <cfRule type="expression" dxfId="282" priority="9">
      <formula>($A21=0)</formula>
    </cfRule>
  </conditionalFormatting>
  <conditionalFormatting sqref="K27:L27">
    <cfRule type="cellIs" dxfId="281" priority="3" operator="equal">
      <formula>""" """</formula>
    </cfRule>
  </conditionalFormatting>
  <conditionalFormatting sqref="M17">
    <cfRule type="expression" dxfId="280" priority="17">
      <formula>$M$17&gt;$K$17</formula>
    </cfRule>
  </conditionalFormatting>
  <conditionalFormatting sqref="M21:M65">
    <cfRule type="cellIs" dxfId="279" priority="18" operator="greaterThan">
      <formula>3</formula>
    </cfRule>
    <cfRule type="cellIs" dxfId="278" priority="19" operator="equal">
      <formula>3</formula>
    </cfRule>
    <cfRule type="cellIs" dxfId="277" priority="20" operator="equal">
      <formula>2</formula>
    </cfRule>
    <cfRule type="cellIs" dxfId="276" priority="21" operator="equal">
      <formula>1</formula>
    </cfRule>
  </conditionalFormatting>
  <conditionalFormatting sqref="N91:P100">
    <cfRule type="cellIs" dxfId="27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74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73" priority="35" operator="equal">
      <formula>0</formula>
    </cfRule>
  </conditionalFormatting>
  <conditionalFormatting sqref="R81:R88 S82:S88 T83:T88 U84:U88 V85:V88 W86:W88">
    <cfRule type="cellIs" dxfId="27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71" priority="24" operator="notEqual">
      <formula>0</formula>
    </cfRule>
  </conditionalFormatting>
  <dataValidations count="3">
    <dataValidation type="list" allowBlank="1" showInputMessage="1" showErrorMessage="1" sqref="K21:K65 K74" xr:uid="{00000000-0002-0000-0900-000000000000}">
      <formula1>$O$19:$O$20</formula1>
      <formula2>0</formula2>
    </dataValidation>
    <dataValidation type="whole" allowBlank="1" showInputMessage="1" showErrorMessage="1" sqref="M66 M74" xr:uid="{00000000-0002-0000-0900-000001000000}">
      <formula1>1</formula1>
      <formula2>9</formula2>
    </dataValidation>
    <dataValidation type="decimal" allowBlank="1" showInputMessage="1" showErrorMessage="1" sqref="L21:L65" xr:uid="{00000000-0002-0000-09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9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110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5">
        <v>6</v>
      </c>
      <c r="C47" s="196">
        <v>8</v>
      </c>
      <c r="D47" s="184" t="str">
        <f t="shared" si="8"/>
        <v/>
      </c>
      <c r="E47" s="185"/>
      <c r="F47" s="185"/>
      <c r="G47" s="204"/>
      <c r="H47" s="323" t="str">
        <f t="shared" si="3"/>
        <v/>
      </c>
      <c r="I47" s="323"/>
      <c r="J47" s="323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9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70" priority="16">
      <formula>ISBLANK($B$17)</formula>
    </cfRule>
  </conditionalFormatting>
  <conditionalFormatting sqref="B6:N15">
    <cfRule type="expression" dxfId="269" priority="32">
      <formula>$B6&lt;&gt;""</formula>
    </cfRule>
  </conditionalFormatting>
  <conditionalFormatting sqref="C77:I77 N77 A79:A86">
    <cfRule type="cellIs" dxfId="268" priority="2" operator="equal">
      <formula>"n/a"</formula>
    </cfRule>
  </conditionalFormatting>
  <conditionalFormatting sqref="C91:L100">
    <cfRule type="cellIs" dxfId="267" priority="14" operator="equal">
      <formula>0</formula>
    </cfRule>
  </conditionalFormatting>
  <conditionalFormatting sqref="C102:L111">
    <cfRule type="cellIs" dxfId="26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6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64" priority="4" operator="notEqual">
      <formula>0</formula>
    </cfRule>
  </conditionalFormatting>
  <conditionalFormatting sqref="G17">
    <cfRule type="expression" dxfId="263" priority="13">
      <formula>ISBLANK($G$17)</formula>
    </cfRule>
  </conditionalFormatting>
  <conditionalFormatting sqref="K21:L65">
    <cfRule type="expression" dxfId="262" priority="8">
      <formula>AND($A21&gt;0,OR($K21="",$L21=""))</formula>
    </cfRule>
    <cfRule type="expression" dxfId="261" priority="9">
      <formula>($A21=0)</formula>
    </cfRule>
  </conditionalFormatting>
  <conditionalFormatting sqref="K27:L27">
    <cfRule type="cellIs" dxfId="260" priority="3" operator="equal">
      <formula>""" """</formula>
    </cfRule>
  </conditionalFormatting>
  <conditionalFormatting sqref="M17">
    <cfRule type="expression" dxfId="259" priority="17">
      <formula>$M$17&gt;$K$17</formula>
    </cfRule>
  </conditionalFormatting>
  <conditionalFormatting sqref="M21:M65">
    <cfRule type="cellIs" dxfId="258" priority="18" operator="greaterThan">
      <formula>3</formula>
    </cfRule>
    <cfRule type="cellIs" dxfId="257" priority="19" operator="equal">
      <formula>3</formula>
    </cfRule>
    <cfRule type="cellIs" dxfId="256" priority="20" operator="equal">
      <formula>2</formula>
    </cfRule>
    <cfRule type="cellIs" dxfId="255" priority="21" operator="equal">
      <formula>1</formula>
    </cfRule>
  </conditionalFormatting>
  <conditionalFormatting sqref="N91:P100">
    <cfRule type="cellIs" dxfId="25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5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52" priority="35" operator="equal">
      <formula>0</formula>
    </cfRule>
  </conditionalFormatting>
  <conditionalFormatting sqref="R81:R88 S82:S88 T83:T88 U84:U88 V85:V88 W86:W88">
    <cfRule type="cellIs" dxfId="25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50" priority="24" operator="notEqual">
      <formula>0</formula>
    </cfRule>
  </conditionalFormatting>
  <dataValidations count="3">
    <dataValidation type="whole" allowBlank="1" showInputMessage="1" showErrorMessage="1" sqref="M66 M74" xr:uid="{00000000-0002-0000-0A00-000000000000}">
      <formula1>1</formula1>
      <formula2>9</formula2>
    </dataValidation>
    <dataValidation type="list" allowBlank="1" showInputMessage="1" showErrorMessage="1" sqref="K21:K65 K74" xr:uid="{00000000-0002-0000-0A00-000001000000}">
      <formula1>$O$19:$O$20</formula1>
      <formula2>0</formula2>
    </dataValidation>
    <dataValidation type="decimal" allowBlank="1" showInputMessage="1" showErrorMessage="1" sqref="L21:L65" xr:uid="{00000000-0002-0000-0A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10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3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254"/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>N100*SINH(P88)/O$101</f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111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10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2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2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2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2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2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2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2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2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2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2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49" priority="16">
      <formula>ISBLANK($B$17)</formula>
    </cfRule>
  </conditionalFormatting>
  <conditionalFormatting sqref="B6:N15">
    <cfRule type="expression" dxfId="248" priority="32">
      <formula>$B6&lt;&gt;""</formula>
    </cfRule>
  </conditionalFormatting>
  <conditionalFormatting sqref="C77:I77 N77 A79:A86">
    <cfRule type="cellIs" dxfId="247" priority="2" operator="equal">
      <formula>"n/a"</formula>
    </cfRule>
  </conditionalFormatting>
  <conditionalFormatting sqref="C91:L100">
    <cfRule type="cellIs" dxfId="246" priority="14" operator="equal">
      <formula>0</formula>
    </cfRule>
  </conditionalFormatting>
  <conditionalFormatting sqref="C102:L111">
    <cfRule type="cellIs" dxfId="24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4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43" priority="4" operator="notEqual">
      <formula>0</formula>
    </cfRule>
  </conditionalFormatting>
  <conditionalFormatting sqref="G17">
    <cfRule type="expression" dxfId="242" priority="13">
      <formula>ISBLANK($G$17)</formula>
    </cfRule>
  </conditionalFormatting>
  <conditionalFormatting sqref="K21:L65">
    <cfRule type="expression" dxfId="241" priority="8">
      <formula>AND($A21&gt;0,OR($K21="",$L21=""))</formula>
    </cfRule>
    <cfRule type="expression" dxfId="240" priority="9">
      <formula>($A21=0)</formula>
    </cfRule>
  </conditionalFormatting>
  <conditionalFormatting sqref="K27:L27">
    <cfRule type="cellIs" dxfId="239" priority="3" operator="equal">
      <formula>""" """</formula>
    </cfRule>
  </conditionalFormatting>
  <conditionalFormatting sqref="M17">
    <cfRule type="expression" dxfId="238" priority="17">
      <formula>$M$17&gt;$K$17</formula>
    </cfRule>
  </conditionalFormatting>
  <conditionalFormatting sqref="M21:M65">
    <cfRule type="cellIs" dxfId="237" priority="18" operator="greaterThan">
      <formula>3</formula>
    </cfRule>
    <cfRule type="cellIs" dxfId="236" priority="19" operator="equal">
      <formula>3</formula>
    </cfRule>
    <cfRule type="cellIs" dxfId="235" priority="20" operator="equal">
      <formula>2</formula>
    </cfRule>
    <cfRule type="cellIs" dxfId="234" priority="21" operator="equal">
      <formula>1</formula>
    </cfRule>
  </conditionalFormatting>
  <conditionalFormatting sqref="N91:P100">
    <cfRule type="cellIs" dxfId="23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32" priority="37" operator="lessThan">
      <formula>0.00001</formula>
    </cfRule>
  </conditionalFormatting>
  <conditionalFormatting sqref="P6:P13 P15">
    <cfRule type="colorScale" priority="34">
      <colorScale>
        <cfvo type="min"/>
        <cfvo type="max"/>
        <color rgb="FFFCFCFF"/>
        <color rgb="FF63BE7B"/>
      </colorScale>
    </cfRule>
    <cfRule type="cellIs" dxfId="231" priority="35" operator="equal">
      <formula>0</formula>
    </cfRule>
  </conditionalFormatting>
  <conditionalFormatting sqref="R81:R88 S82:S88 T83:T88 U84:U88 V85:V88 W86:W88">
    <cfRule type="cellIs" dxfId="23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29" priority="24" operator="notEqual">
      <formula>0</formula>
    </cfRule>
  </conditionalFormatting>
  <dataValidations count="3">
    <dataValidation type="list" allowBlank="1" showInputMessage="1" showErrorMessage="1" sqref="K21:K65 K74" xr:uid="{00000000-0002-0000-0B00-000000000000}">
      <formula1>$O$19:$O$20</formula1>
      <formula2>0</formula2>
    </dataValidation>
    <dataValidation type="whole" allowBlank="1" showInputMessage="1" showErrorMessage="1" sqref="M66 M74" xr:uid="{00000000-0002-0000-0B00-000001000000}">
      <formula1>1</formula1>
      <formula2>9</formula2>
    </dataValidation>
    <dataValidation type="decimal" allowBlank="1" showInputMessage="1" showErrorMessage="1" sqref="L21:L65" xr:uid="{00000000-0002-0000-0B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11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112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11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28" priority="16">
      <formula>ISBLANK($B$17)</formula>
    </cfRule>
  </conditionalFormatting>
  <conditionalFormatting sqref="B6:N15">
    <cfRule type="expression" dxfId="227" priority="32">
      <formula>$B6&lt;&gt;""</formula>
    </cfRule>
  </conditionalFormatting>
  <conditionalFormatting sqref="C77:I77 N77 A79:A86">
    <cfRule type="cellIs" dxfId="226" priority="2" operator="equal">
      <formula>"n/a"</formula>
    </cfRule>
  </conditionalFormatting>
  <conditionalFormatting sqref="C91:L100">
    <cfRule type="cellIs" dxfId="225" priority="14" operator="equal">
      <formula>0</formula>
    </cfRule>
  </conditionalFormatting>
  <conditionalFormatting sqref="C102:L111">
    <cfRule type="cellIs" dxfId="224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2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22" priority="4" operator="notEqual">
      <formula>0</formula>
    </cfRule>
  </conditionalFormatting>
  <conditionalFormatting sqref="G17">
    <cfRule type="expression" dxfId="221" priority="13">
      <formula>ISBLANK($G$17)</formula>
    </cfRule>
  </conditionalFormatting>
  <conditionalFormatting sqref="K21:L65">
    <cfRule type="expression" dxfId="220" priority="8">
      <formula>AND($A21&gt;0,OR($K21="",$L21=""))</formula>
    </cfRule>
    <cfRule type="expression" dxfId="219" priority="9">
      <formula>($A21=0)</formula>
    </cfRule>
  </conditionalFormatting>
  <conditionalFormatting sqref="K27:L27">
    <cfRule type="cellIs" dxfId="218" priority="3" operator="equal">
      <formula>""" """</formula>
    </cfRule>
  </conditionalFormatting>
  <conditionalFormatting sqref="M17">
    <cfRule type="expression" dxfId="217" priority="17">
      <formula>$M$17&gt;$K$17</formula>
    </cfRule>
  </conditionalFormatting>
  <conditionalFormatting sqref="M21:M65">
    <cfRule type="cellIs" dxfId="216" priority="18" operator="greaterThan">
      <formula>3</formula>
    </cfRule>
    <cfRule type="cellIs" dxfId="215" priority="19" operator="equal">
      <formula>3</formula>
    </cfRule>
    <cfRule type="cellIs" dxfId="214" priority="20" operator="equal">
      <formula>2</formula>
    </cfRule>
    <cfRule type="cellIs" dxfId="213" priority="21" operator="equal">
      <formula>1</formula>
    </cfRule>
  </conditionalFormatting>
  <conditionalFormatting sqref="N91:P100">
    <cfRule type="cellIs" dxfId="212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11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10" priority="35" operator="equal">
      <formula>0</formula>
    </cfRule>
  </conditionalFormatting>
  <conditionalFormatting sqref="R81:R88 S82:S88 T83:T88 U84:U88 V85:V88 W86:W88">
    <cfRule type="cellIs" dxfId="209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08" priority="24" operator="notEqual">
      <formula>0</formula>
    </cfRule>
  </conditionalFormatting>
  <dataValidations count="3">
    <dataValidation type="whole" allowBlank="1" showInputMessage="1" showErrorMessage="1" sqref="M66 M74" xr:uid="{00000000-0002-0000-0C00-000000000000}">
      <formula1>1</formula1>
      <formula2>9</formula2>
    </dataValidation>
    <dataValidation type="list" allowBlank="1" showInputMessage="1" showErrorMessage="1" sqref="K21:K65 K74" xr:uid="{00000000-0002-0000-0C00-000001000000}">
      <formula1>$O$19:$O$20</formula1>
      <formula2>0</formula2>
    </dataValidation>
    <dataValidation type="decimal" allowBlank="1" showInputMessage="1" showErrorMessage="1" sqref="L21:L65" xr:uid="{00000000-0002-0000-0C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12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113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12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07" priority="16">
      <formula>ISBLANK($B$17)</formula>
    </cfRule>
  </conditionalFormatting>
  <conditionalFormatting sqref="B6:N15">
    <cfRule type="expression" dxfId="206" priority="32">
      <formula>$B6&lt;&gt;""</formula>
    </cfRule>
  </conditionalFormatting>
  <conditionalFormatting sqref="C77:I77 N77 A79:A86">
    <cfRule type="cellIs" dxfId="205" priority="2" operator="equal">
      <formula>"n/a"</formula>
    </cfRule>
  </conditionalFormatting>
  <conditionalFormatting sqref="C91:L100">
    <cfRule type="cellIs" dxfId="204" priority="14" operator="equal">
      <formula>0</formula>
    </cfRule>
  </conditionalFormatting>
  <conditionalFormatting sqref="C102:L111">
    <cfRule type="cellIs" dxfId="203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0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01" priority="4" operator="notEqual">
      <formula>0</formula>
    </cfRule>
  </conditionalFormatting>
  <conditionalFormatting sqref="G17">
    <cfRule type="expression" dxfId="200" priority="13">
      <formula>ISBLANK($G$17)</formula>
    </cfRule>
  </conditionalFormatting>
  <conditionalFormatting sqref="K21:L65">
    <cfRule type="expression" dxfId="199" priority="8">
      <formula>AND($A21&gt;0,OR($K21="",$L21=""))</formula>
    </cfRule>
    <cfRule type="expression" dxfId="198" priority="9">
      <formula>($A21=0)</formula>
    </cfRule>
  </conditionalFormatting>
  <conditionalFormatting sqref="K27:L27">
    <cfRule type="cellIs" dxfId="197" priority="3" operator="equal">
      <formula>""" """</formula>
    </cfRule>
  </conditionalFormatting>
  <conditionalFormatting sqref="M17">
    <cfRule type="expression" dxfId="196" priority="17">
      <formula>$M$17&gt;$K$17</formula>
    </cfRule>
  </conditionalFormatting>
  <conditionalFormatting sqref="M21:M65">
    <cfRule type="cellIs" dxfId="195" priority="18" operator="greaterThan">
      <formula>3</formula>
    </cfRule>
    <cfRule type="cellIs" dxfId="194" priority="19" operator="equal">
      <formula>3</formula>
    </cfRule>
    <cfRule type="cellIs" dxfId="193" priority="20" operator="equal">
      <formula>2</formula>
    </cfRule>
    <cfRule type="cellIs" dxfId="192" priority="21" operator="equal">
      <formula>1</formula>
    </cfRule>
  </conditionalFormatting>
  <conditionalFormatting sqref="N91:P100">
    <cfRule type="cellIs" dxfId="191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90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89" priority="35" operator="equal">
      <formula>0</formula>
    </cfRule>
  </conditionalFormatting>
  <conditionalFormatting sqref="R81:R88 S82:S88 T83:T88 U84:U88 V85:V88 W86:W88">
    <cfRule type="cellIs" dxfId="188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87" priority="24" operator="notEqual">
      <formula>0</formula>
    </cfRule>
  </conditionalFormatting>
  <dataValidations count="3">
    <dataValidation type="list" allowBlank="1" showInputMessage="1" showErrorMessage="1" sqref="K21:K65 K74" xr:uid="{00000000-0002-0000-0D00-000000000000}">
      <formula1>$O$19:$O$20</formula1>
      <formula2>0</formula2>
    </dataValidation>
    <dataValidation type="whole" allowBlank="1" showInputMessage="1" showErrorMessage="1" sqref="M66 M74" xr:uid="{00000000-0002-0000-0D00-000001000000}">
      <formula1>1</formula1>
      <formula2>9</formula2>
    </dataValidation>
    <dataValidation type="decimal" allowBlank="1" showInputMessage="1" showErrorMessage="1" sqref="L21:L65" xr:uid="{00000000-0002-0000-0D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13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114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13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86" priority="16">
      <formula>ISBLANK($B$17)</formula>
    </cfRule>
  </conditionalFormatting>
  <conditionalFormatting sqref="B6:N15">
    <cfRule type="expression" dxfId="185" priority="32">
      <formula>$B6&lt;&gt;""</formula>
    </cfRule>
  </conditionalFormatting>
  <conditionalFormatting sqref="C77:I77 N77 A79:A86">
    <cfRule type="cellIs" dxfId="184" priority="2" operator="equal">
      <formula>"n/a"</formula>
    </cfRule>
  </conditionalFormatting>
  <conditionalFormatting sqref="C91:L100">
    <cfRule type="cellIs" dxfId="183" priority="14" operator="equal">
      <formula>0</formula>
    </cfRule>
  </conditionalFormatting>
  <conditionalFormatting sqref="C102:L111">
    <cfRule type="cellIs" dxfId="18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8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80" priority="4" operator="notEqual">
      <formula>0</formula>
    </cfRule>
  </conditionalFormatting>
  <conditionalFormatting sqref="G17">
    <cfRule type="expression" dxfId="179" priority="13">
      <formula>ISBLANK($G$17)</formula>
    </cfRule>
  </conditionalFormatting>
  <conditionalFormatting sqref="K21:L65">
    <cfRule type="expression" dxfId="178" priority="8">
      <formula>AND($A21&gt;0,OR($K21="",$L21=""))</formula>
    </cfRule>
    <cfRule type="expression" dxfId="177" priority="9">
      <formula>($A21=0)</formula>
    </cfRule>
  </conditionalFormatting>
  <conditionalFormatting sqref="K27:L27">
    <cfRule type="cellIs" dxfId="176" priority="3" operator="equal">
      <formula>""" """</formula>
    </cfRule>
  </conditionalFormatting>
  <conditionalFormatting sqref="M17">
    <cfRule type="expression" dxfId="175" priority="17">
      <formula>$M$17&gt;$K$17</formula>
    </cfRule>
  </conditionalFormatting>
  <conditionalFormatting sqref="M21:M65">
    <cfRule type="cellIs" dxfId="174" priority="18" operator="greaterThan">
      <formula>3</formula>
    </cfRule>
    <cfRule type="cellIs" dxfId="173" priority="19" operator="equal">
      <formula>3</formula>
    </cfRule>
    <cfRule type="cellIs" dxfId="172" priority="20" operator="equal">
      <formula>2</formula>
    </cfRule>
    <cfRule type="cellIs" dxfId="171" priority="21" operator="equal">
      <formula>1</formula>
    </cfRule>
  </conditionalFormatting>
  <conditionalFormatting sqref="N91:P100">
    <cfRule type="cellIs" dxfId="17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6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68" priority="35" operator="equal">
      <formula>0</formula>
    </cfRule>
  </conditionalFormatting>
  <conditionalFormatting sqref="R81:R88 S82:S88 T83:T88 U84:U88 V85:V88 W86:W88">
    <cfRule type="cellIs" dxfId="16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66" priority="24" operator="notEqual">
      <formula>0</formula>
    </cfRule>
  </conditionalFormatting>
  <dataValidations count="3">
    <dataValidation type="whole" allowBlank="1" showInputMessage="1" showErrorMessage="1" sqref="M66 M74" xr:uid="{00000000-0002-0000-0E00-000000000000}">
      <formula1>1</formula1>
      <formula2>9</formula2>
    </dataValidation>
    <dataValidation type="list" allowBlank="1" showInputMessage="1" showErrorMessage="1" sqref="K21:K65 K74" xr:uid="{00000000-0002-0000-0E00-000001000000}">
      <formula1>$O$19:$O$20</formula1>
      <formula2>0</formula2>
    </dataValidation>
    <dataValidation type="decimal" allowBlank="1" showInputMessage="1" showErrorMessage="1" sqref="L21:L65" xr:uid="{00000000-0002-0000-0E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14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115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14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65" priority="16">
      <formula>ISBLANK($B$17)</formula>
    </cfRule>
  </conditionalFormatting>
  <conditionalFormatting sqref="B6:N15">
    <cfRule type="expression" dxfId="164" priority="32">
      <formula>$B6&lt;&gt;""</formula>
    </cfRule>
  </conditionalFormatting>
  <conditionalFormatting sqref="C77:I77 N77 A79:A86">
    <cfRule type="cellIs" dxfId="163" priority="2" operator="equal">
      <formula>"n/a"</formula>
    </cfRule>
  </conditionalFormatting>
  <conditionalFormatting sqref="C91:L100">
    <cfRule type="cellIs" dxfId="162" priority="14" operator="equal">
      <formula>0</formula>
    </cfRule>
  </conditionalFormatting>
  <conditionalFormatting sqref="C102:L111">
    <cfRule type="cellIs" dxfId="16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6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59" priority="4" operator="notEqual">
      <formula>0</formula>
    </cfRule>
  </conditionalFormatting>
  <conditionalFormatting sqref="G17">
    <cfRule type="expression" dxfId="158" priority="13">
      <formula>ISBLANK($G$17)</formula>
    </cfRule>
  </conditionalFormatting>
  <conditionalFormatting sqref="K21:L65">
    <cfRule type="expression" dxfId="157" priority="8">
      <formula>AND($A21&gt;0,OR($K21="",$L21=""))</formula>
    </cfRule>
    <cfRule type="expression" dxfId="156" priority="9">
      <formula>($A21=0)</formula>
    </cfRule>
  </conditionalFormatting>
  <conditionalFormatting sqref="K27:L27">
    <cfRule type="cellIs" dxfId="155" priority="3" operator="equal">
      <formula>""" """</formula>
    </cfRule>
  </conditionalFormatting>
  <conditionalFormatting sqref="M17">
    <cfRule type="expression" dxfId="154" priority="17">
      <formula>$M$17&gt;$K$17</formula>
    </cfRule>
  </conditionalFormatting>
  <conditionalFormatting sqref="M21:M65">
    <cfRule type="cellIs" dxfId="153" priority="18" operator="greaterThan">
      <formula>3</formula>
    </cfRule>
    <cfRule type="cellIs" dxfId="152" priority="19" operator="equal">
      <formula>3</formula>
    </cfRule>
    <cfRule type="cellIs" dxfId="151" priority="20" operator="equal">
      <formula>2</formula>
    </cfRule>
    <cfRule type="cellIs" dxfId="150" priority="21" operator="equal">
      <formula>1</formula>
    </cfRule>
  </conditionalFormatting>
  <conditionalFormatting sqref="N91:P100">
    <cfRule type="cellIs" dxfId="14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4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47" priority="35" operator="equal">
      <formula>0</formula>
    </cfRule>
  </conditionalFormatting>
  <conditionalFormatting sqref="R81:R88 S82:S88 T83:T88 U84:U88 V85:V88 W86:W88">
    <cfRule type="cellIs" dxfId="14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45" priority="24" operator="notEqual">
      <formula>0</formula>
    </cfRule>
  </conditionalFormatting>
  <dataValidations count="3">
    <dataValidation type="list" allowBlank="1" showInputMessage="1" showErrorMessage="1" sqref="K21:K65 K74" xr:uid="{00000000-0002-0000-0F00-000000000000}">
      <formula1>$O$19:$O$20</formula1>
      <formula2>0</formula2>
    </dataValidation>
    <dataValidation type="whole" allowBlank="1" showInputMessage="1" showErrorMessage="1" sqref="M66 M74" xr:uid="{00000000-0002-0000-0F00-000001000000}">
      <formula1>1</formula1>
      <formula2>9</formula2>
    </dataValidation>
    <dataValidation type="decimal" allowBlank="1" showInputMessage="1" showErrorMessage="1" sqref="L21:L65" xr:uid="{00000000-0002-0000-0F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15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116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15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44" priority="16">
      <formula>ISBLANK($B$17)</formula>
    </cfRule>
  </conditionalFormatting>
  <conditionalFormatting sqref="B6:N15">
    <cfRule type="expression" dxfId="143" priority="32">
      <formula>$B6&lt;&gt;""</formula>
    </cfRule>
  </conditionalFormatting>
  <conditionalFormatting sqref="C77:I77 N77 A79:A86">
    <cfRule type="cellIs" dxfId="142" priority="2" operator="equal">
      <formula>"n/a"</formula>
    </cfRule>
  </conditionalFormatting>
  <conditionalFormatting sqref="C91:L100">
    <cfRule type="cellIs" dxfId="141" priority="14" operator="equal">
      <formula>0</formula>
    </cfRule>
  </conditionalFormatting>
  <conditionalFormatting sqref="C102:L111">
    <cfRule type="cellIs" dxfId="140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39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38" priority="4" operator="notEqual">
      <formula>0</formula>
    </cfRule>
  </conditionalFormatting>
  <conditionalFormatting sqref="G17">
    <cfRule type="expression" dxfId="137" priority="13">
      <formula>ISBLANK($G$17)</formula>
    </cfRule>
  </conditionalFormatting>
  <conditionalFormatting sqref="K21:L65">
    <cfRule type="expression" dxfId="136" priority="8">
      <formula>AND($A21&gt;0,OR($K21="",$L21=""))</formula>
    </cfRule>
    <cfRule type="expression" dxfId="135" priority="9">
      <formula>($A21=0)</formula>
    </cfRule>
  </conditionalFormatting>
  <conditionalFormatting sqref="K27:L27">
    <cfRule type="cellIs" dxfId="134" priority="3" operator="equal">
      <formula>""" """</formula>
    </cfRule>
  </conditionalFormatting>
  <conditionalFormatting sqref="M17">
    <cfRule type="expression" dxfId="133" priority="17">
      <formula>$M$17&gt;$K$17</formula>
    </cfRule>
  </conditionalFormatting>
  <conditionalFormatting sqref="M21:M65">
    <cfRule type="cellIs" dxfId="132" priority="18" operator="greaterThan">
      <formula>3</formula>
    </cfRule>
    <cfRule type="cellIs" dxfId="131" priority="19" operator="equal">
      <formula>3</formula>
    </cfRule>
    <cfRule type="cellIs" dxfId="130" priority="20" operator="equal">
      <formula>2</formula>
    </cfRule>
    <cfRule type="cellIs" dxfId="129" priority="21" operator="equal">
      <formula>1</formula>
    </cfRule>
  </conditionalFormatting>
  <conditionalFormatting sqref="N91:P100">
    <cfRule type="cellIs" dxfId="128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27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26" priority="35" operator="equal">
      <formula>0</formula>
    </cfRule>
  </conditionalFormatting>
  <conditionalFormatting sqref="R81:R88 S82:S88 T83:T88 U84:U88 V85:V88 W86:W88">
    <cfRule type="cellIs" dxfId="125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24" priority="24" operator="notEqual">
      <formula>0</formula>
    </cfRule>
  </conditionalFormatting>
  <dataValidations count="3">
    <dataValidation type="list" allowBlank="1" showInputMessage="1" showErrorMessage="1" sqref="K21:K65 K74" xr:uid="{00000000-0002-0000-1000-000000000000}">
      <formula1>$O$19:$O$20</formula1>
      <formula2>0</formula2>
    </dataValidation>
    <dataValidation type="whole" allowBlank="1" showInputMessage="1" showErrorMessage="1" sqref="M66 M74" xr:uid="{00000000-0002-0000-1000-000001000000}">
      <formula1>1</formula1>
      <formula2>9</formula2>
    </dataValidation>
    <dataValidation type="decimal" allowBlank="1" showInputMessage="1" showErrorMessage="1" sqref="L21:L65" xr:uid="{00000000-0002-0000-10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16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117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16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23" priority="16">
      <formula>ISBLANK($B$17)</formula>
    </cfRule>
  </conditionalFormatting>
  <conditionalFormatting sqref="B6:N15">
    <cfRule type="expression" dxfId="122" priority="32">
      <formula>$B6&lt;&gt;""</formula>
    </cfRule>
  </conditionalFormatting>
  <conditionalFormatting sqref="C77:I77 N77 A79:A86">
    <cfRule type="cellIs" dxfId="121" priority="2" operator="equal">
      <formula>"n/a"</formula>
    </cfRule>
  </conditionalFormatting>
  <conditionalFormatting sqref="C91:L100">
    <cfRule type="cellIs" dxfId="120" priority="14" operator="equal">
      <formula>0</formula>
    </cfRule>
  </conditionalFormatting>
  <conditionalFormatting sqref="C102:L111">
    <cfRule type="cellIs" dxfId="119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18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17" priority="4" operator="notEqual">
      <formula>0</formula>
    </cfRule>
  </conditionalFormatting>
  <conditionalFormatting sqref="G17">
    <cfRule type="expression" dxfId="116" priority="13">
      <formula>ISBLANK($G$17)</formula>
    </cfRule>
  </conditionalFormatting>
  <conditionalFormatting sqref="K21:L65">
    <cfRule type="expression" dxfId="115" priority="8">
      <formula>AND($A21&gt;0,OR($K21="",$L21=""))</formula>
    </cfRule>
    <cfRule type="expression" dxfId="114" priority="9">
      <formula>($A21=0)</formula>
    </cfRule>
  </conditionalFormatting>
  <conditionalFormatting sqref="K27:L27">
    <cfRule type="cellIs" dxfId="113" priority="3" operator="equal">
      <formula>""" """</formula>
    </cfRule>
  </conditionalFormatting>
  <conditionalFormatting sqref="M17">
    <cfRule type="expression" dxfId="112" priority="17">
      <formula>$M$17&gt;$K$17</formula>
    </cfRule>
  </conditionalFormatting>
  <conditionalFormatting sqref="M21:M65">
    <cfRule type="cellIs" dxfId="111" priority="18" operator="greaterThan">
      <formula>3</formula>
    </cfRule>
    <cfRule type="cellIs" dxfId="110" priority="19" operator="equal">
      <formula>3</formula>
    </cfRule>
    <cfRule type="cellIs" dxfId="109" priority="20" operator="equal">
      <formula>2</formula>
    </cfRule>
    <cfRule type="cellIs" dxfId="108" priority="21" operator="equal">
      <formula>1</formula>
    </cfRule>
  </conditionalFormatting>
  <conditionalFormatting sqref="N91:P100">
    <cfRule type="cellIs" dxfId="107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06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05" priority="35" operator="equal">
      <formula>0</formula>
    </cfRule>
  </conditionalFormatting>
  <conditionalFormatting sqref="R81:R88 S82:S88 T83:T88 U84:U88 V85:V88 W86:W88">
    <cfRule type="cellIs" dxfId="104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03" priority="24" operator="notEqual">
      <formula>0</formula>
    </cfRule>
  </conditionalFormatting>
  <dataValidations count="3">
    <dataValidation type="list" allowBlank="1" showInputMessage="1" showErrorMessage="1" sqref="K21:K65 K74" xr:uid="{00000000-0002-0000-1100-000000000000}">
      <formula1>$O$19:$O$20</formula1>
      <formula2>0</formula2>
    </dataValidation>
    <dataValidation type="whole" allowBlank="1" showInputMessage="1" showErrorMessage="1" sqref="M66 M74" xr:uid="{00000000-0002-0000-1100-000001000000}">
      <formula1>1</formula1>
      <formula2>9</formula2>
    </dataValidation>
    <dataValidation type="decimal" allowBlank="1" showInputMessage="1" showErrorMessage="1" sqref="L21:L65" xr:uid="{00000000-0002-0000-11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17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118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17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02" priority="16">
      <formula>ISBLANK($B$17)</formula>
    </cfRule>
  </conditionalFormatting>
  <conditionalFormatting sqref="B6:N15">
    <cfRule type="expression" dxfId="101" priority="32">
      <formula>$B6&lt;&gt;""</formula>
    </cfRule>
  </conditionalFormatting>
  <conditionalFormatting sqref="C77:I77 N77 A79:A86">
    <cfRule type="cellIs" dxfId="100" priority="2" operator="equal">
      <formula>"n/a"</formula>
    </cfRule>
  </conditionalFormatting>
  <conditionalFormatting sqref="C91:L100">
    <cfRule type="cellIs" dxfId="99" priority="14" operator="equal">
      <formula>0</formula>
    </cfRule>
  </conditionalFormatting>
  <conditionalFormatting sqref="C102:L111">
    <cfRule type="cellIs" dxfId="98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97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96" priority="4" operator="notEqual">
      <formula>0</formula>
    </cfRule>
  </conditionalFormatting>
  <conditionalFormatting sqref="G17">
    <cfRule type="expression" dxfId="95" priority="13">
      <formula>ISBLANK($G$17)</formula>
    </cfRule>
  </conditionalFormatting>
  <conditionalFormatting sqref="K21:L65">
    <cfRule type="expression" dxfId="94" priority="8">
      <formula>AND($A21&gt;0,OR($K21="",$L21=""))</formula>
    </cfRule>
    <cfRule type="expression" dxfId="93" priority="9">
      <formula>($A21=0)</formula>
    </cfRule>
  </conditionalFormatting>
  <conditionalFormatting sqref="K27:L27">
    <cfRule type="cellIs" dxfId="92" priority="3" operator="equal">
      <formula>""" """</formula>
    </cfRule>
  </conditionalFormatting>
  <conditionalFormatting sqref="M17">
    <cfRule type="expression" dxfId="91" priority="17">
      <formula>$M$17&gt;$K$17</formula>
    </cfRule>
  </conditionalFormatting>
  <conditionalFormatting sqref="M21:M65">
    <cfRule type="cellIs" dxfId="90" priority="18" operator="greaterThan">
      <formula>3</formula>
    </cfRule>
    <cfRule type="cellIs" dxfId="89" priority="19" operator="equal">
      <formula>3</formula>
    </cfRule>
    <cfRule type="cellIs" dxfId="88" priority="20" operator="equal">
      <formula>2</formula>
    </cfRule>
    <cfRule type="cellIs" dxfId="87" priority="21" operator="equal">
      <formula>1</formula>
    </cfRule>
  </conditionalFormatting>
  <conditionalFormatting sqref="N91:P100">
    <cfRule type="cellIs" dxfId="86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85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84" priority="35" operator="equal">
      <formula>0</formula>
    </cfRule>
  </conditionalFormatting>
  <conditionalFormatting sqref="R81:R88 S82:S88 T83:T88 U84:U88 V85:V88 W86:W88">
    <cfRule type="cellIs" dxfId="83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82" priority="24" operator="notEqual">
      <formula>0</formula>
    </cfRule>
  </conditionalFormatting>
  <dataValidations count="3">
    <dataValidation type="list" allowBlank="1" showInputMessage="1" showErrorMessage="1" sqref="K21:K65 K74" xr:uid="{00000000-0002-0000-1200-000000000000}">
      <formula1>$O$19:$O$20</formula1>
      <formula2>0</formula2>
    </dataValidation>
    <dataValidation type="whole" allowBlank="1" showInputMessage="1" showErrorMessage="1" sqref="M66 M74" xr:uid="{00000000-0002-0000-1200-000001000000}">
      <formula1>1</formula1>
      <formula2>9</formula2>
    </dataValidation>
    <dataValidation type="decimal" allowBlank="1" showInputMessage="1" showErrorMessage="1" sqref="L21:L65" xr:uid="{00000000-0002-0000-1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18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119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18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81" priority="16">
      <formula>ISBLANK($B$17)</formula>
    </cfRule>
  </conditionalFormatting>
  <conditionalFormatting sqref="B6:N15">
    <cfRule type="expression" dxfId="80" priority="32">
      <formula>$B6&lt;&gt;""</formula>
    </cfRule>
  </conditionalFormatting>
  <conditionalFormatting sqref="C77:I77 N77 A79:A86">
    <cfRule type="cellIs" dxfId="79" priority="2" operator="equal">
      <formula>"n/a"</formula>
    </cfRule>
  </conditionalFormatting>
  <conditionalFormatting sqref="C91:L100">
    <cfRule type="cellIs" dxfId="78" priority="14" operator="equal">
      <formula>0</formula>
    </cfRule>
  </conditionalFormatting>
  <conditionalFormatting sqref="C102:L111">
    <cfRule type="cellIs" dxfId="7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7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75" priority="4" operator="notEqual">
      <formula>0</formula>
    </cfRule>
  </conditionalFormatting>
  <conditionalFormatting sqref="G17">
    <cfRule type="expression" dxfId="74" priority="13">
      <formula>ISBLANK($G$17)</formula>
    </cfRule>
  </conditionalFormatting>
  <conditionalFormatting sqref="K21:L65">
    <cfRule type="expression" dxfId="73" priority="8">
      <formula>AND($A21&gt;0,OR($K21="",$L21=""))</formula>
    </cfRule>
    <cfRule type="expression" dxfId="72" priority="9">
      <formula>($A21=0)</formula>
    </cfRule>
  </conditionalFormatting>
  <conditionalFormatting sqref="K27:L27">
    <cfRule type="cellIs" dxfId="71" priority="3" operator="equal">
      <formula>""" """</formula>
    </cfRule>
  </conditionalFormatting>
  <conditionalFormatting sqref="M17">
    <cfRule type="expression" dxfId="70" priority="17">
      <formula>$M$17&gt;$K$17</formula>
    </cfRule>
  </conditionalFormatting>
  <conditionalFormatting sqref="M21:M65">
    <cfRule type="cellIs" dxfId="69" priority="18" operator="greaterThan">
      <formula>3</formula>
    </cfRule>
    <cfRule type="cellIs" dxfId="68" priority="19" operator="equal">
      <formula>3</formula>
    </cfRule>
    <cfRule type="cellIs" dxfId="67" priority="20" operator="equal">
      <formula>2</formula>
    </cfRule>
    <cfRule type="cellIs" dxfId="66" priority="21" operator="equal">
      <formula>1</formula>
    </cfRule>
  </conditionalFormatting>
  <conditionalFormatting sqref="N91:P100">
    <cfRule type="cellIs" dxfId="6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64" priority="37" operator="lessThan">
      <formula>0.00001</formula>
    </cfRule>
  </conditionalFormatting>
  <conditionalFormatting sqref="P6:P12 P14">
    <cfRule type="colorScale" priority="34">
      <colorScale>
        <cfvo type="min"/>
        <cfvo type="max"/>
        <color rgb="FFFCFCFF"/>
        <color rgb="FF63BE7B"/>
      </colorScale>
    </cfRule>
  </conditionalFormatting>
  <conditionalFormatting sqref="P6:P15">
    <cfRule type="cellIs" dxfId="63" priority="35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6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61" priority="24" operator="notEqual">
      <formula>0</formula>
    </cfRule>
  </conditionalFormatting>
  <dataValidations count="3">
    <dataValidation type="list" allowBlank="1" showInputMessage="1" showErrorMessage="1" sqref="K21:K65 K74" xr:uid="{00000000-0002-0000-1300-000000000000}">
      <formula1>$O$19:$O$20</formula1>
      <formula2>0</formula2>
    </dataValidation>
    <dataValidation type="whole" allowBlank="1" showInputMessage="1" showErrorMessage="1" sqref="M66 M74" xr:uid="{00000000-0002-0000-1300-000001000000}">
      <formula1>1</formula1>
      <formula2>9</formula2>
    </dataValidation>
    <dataValidation type="decimal" allowBlank="1" showInputMessage="1" showErrorMessage="1" sqref="L21:L65" xr:uid="{00000000-0002-0000-1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19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120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27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19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60" priority="16">
      <formula>ISBLANK($B$17)</formula>
    </cfRule>
  </conditionalFormatting>
  <conditionalFormatting sqref="B6:N15">
    <cfRule type="expression" dxfId="59" priority="32">
      <formula>$B6&lt;&gt;""</formula>
    </cfRule>
  </conditionalFormatting>
  <conditionalFormatting sqref="C77:I77 N77 A79:A86">
    <cfRule type="cellIs" dxfId="58" priority="2" operator="equal">
      <formula>"n/a"</formula>
    </cfRule>
  </conditionalFormatting>
  <conditionalFormatting sqref="C91:L100">
    <cfRule type="cellIs" dxfId="57" priority="14" operator="equal">
      <formula>0</formula>
    </cfRule>
  </conditionalFormatting>
  <conditionalFormatting sqref="C102:L111">
    <cfRule type="cellIs" dxfId="5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5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54" priority="4" operator="notEqual">
      <formula>0</formula>
    </cfRule>
  </conditionalFormatting>
  <conditionalFormatting sqref="G17">
    <cfRule type="expression" dxfId="53" priority="13">
      <formula>ISBLANK($G$17)</formula>
    </cfRule>
  </conditionalFormatting>
  <conditionalFormatting sqref="K21:L65">
    <cfRule type="expression" dxfId="52" priority="8">
      <formula>AND($A21&gt;0,OR($K21="",$L21=""))</formula>
    </cfRule>
    <cfRule type="expression" dxfId="51" priority="9">
      <formula>($A21=0)</formula>
    </cfRule>
  </conditionalFormatting>
  <conditionalFormatting sqref="K27:L27">
    <cfRule type="cellIs" dxfId="50" priority="3" operator="equal">
      <formula>""" """</formula>
    </cfRule>
  </conditionalFormatting>
  <conditionalFormatting sqref="M17">
    <cfRule type="expression" dxfId="49" priority="17">
      <formula>$M$17&gt;$K$17</formula>
    </cfRule>
  </conditionalFormatting>
  <conditionalFormatting sqref="M21:M65">
    <cfRule type="cellIs" dxfId="48" priority="18" operator="greaterThan">
      <formula>3</formula>
    </cfRule>
    <cfRule type="cellIs" dxfId="47" priority="19" operator="equal">
      <formula>3</formula>
    </cfRule>
    <cfRule type="cellIs" dxfId="46" priority="20" operator="equal">
      <formula>2</formula>
    </cfRule>
    <cfRule type="cellIs" dxfId="45" priority="21" operator="equal">
      <formula>1</formula>
    </cfRule>
  </conditionalFormatting>
  <conditionalFormatting sqref="N91:P100">
    <cfRule type="cellIs" dxfId="4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4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42" priority="35" operator="equal">
      <formula>0</formula>
    </cfRule>
  </conditionalFormatting>
  <conditionalFormatting sqref="R81:R88 S82:S88 T83:T88 U84:U88 V85:V88 W86:W88">
    <cfRule type="cellIs" dxfId="4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0" priority="24" operator="notEqual">
      <formula>0</formula>
    </cfRule>
  </conditionalFormatting>
  <dataValidations count="3">
    <dataValidation type="list" allowBlank="1" showInputMessage="1" showErrorMessage="1" sqref="K21:K65 K74" xr:uid="{00000000-0002-0000-1400-000000000000}">
      <formula1>$O$19:$O$20</formula1>
      <formula2>0</formula2>
    </dataValidation>
    <dataValidation type="whole" allowBlank="1" showInputMessage="1" showErrorMessage="1" sqref="M66 M74" xr:uid="{00000000-0002-0000-1400-000001000000}">
      <formula1>1</formula1>
      <formula2>9</formula2>
    </dataValidation>
    <dataValidation type="decimal" allowBlank="1" showInputMessage="1" showErrorMessage="1" sqref="L21:L65" xr:uid="{00000000-0002-0000-1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35" t="s">
        <v>61</v>
      </c>
      <c r="B1" s="136"/>
      <c r="C1" s="136"/>
      <c r="D1" s="136"/>
      <c r="E1" s="136"/>
      <c r="F1" s="136"/>
      <c r="G1" s="137"/>
      <c r="H1" s="136"/>
      <c r="I1" s="136"/>
      <c r="J1" s="138" t="s">
        <v>62</v>
      </c>
      <c r="K1" s="139">
        <f>Summary!B5</f>
        <v>3</v>
      </c>
      <c r="L1" s="136"/>
      <c r="M1" s="136"/>
      <c r="N1" s="138" t="s">
        <v>63</v>
      </c>
      <c r="O1" s="140">
        <v>20</v>
      </c>
      <c r="P1" s="136"/>
    </row>
    <row r="2" spans="1:17" ht="12.75" customHeight="1" x14ac:dyDescent="0.25">
      <c r="A2" s="141" t="s">
        <v>64</v>
      </c>
      <c r="B2" s="136"/>
      <c r="C2" s="136"/>
      <c r="D2" s="136" t="str">
        <f>Summary!B11</f>
        <v>Comparing Smoothness Factor Among Conventional Checkout, Self-Checkout and Unmanned Shop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7" ht="13" x14ac:dyDescent="0.3">
      <c r="A3" s="10" t="s">
        <v>65</v>
      </c>
      <c r="B3" s="6"/>
      <c r="C3" s="6"/>
      <c r="D3" s="52"/>
      <c r="E3" s="52"/>
      <c r="F3" s="52"/>
      <c r="G3" s="6"/>
      <c r="H3" s="6"/>
      <c r="I3" s="142"/>
      <c r="J3" s="142"/>
      <c r="K3" s="142"/>
      <c r="L3" s="142"/>
      <c r="M3" s="142"/>
      <c r="N3" s="6"/>
      <c r="O3" s="6"/>
    </row>
    <row r="4" spans="1:17" ht="37.5" customHeight="1" x14ac:dyDescent="0.25">
      <c r="A4" s="333" t="s">
        <v>66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6"/>
    </row>
    <row r="5" spans="1:17" ht="13" x14ac:dyDescent="0.3">
      <c r="A5" s="143" t="s">
        <v>67</v>
      </c>
      <c r="B5" s="144" t="s">
        <v>68</v>
      </c>
      <c r="C5" s="145"/>
      <c r="D5" s="145"/>
      <c r="E5" s="145"/>
      <c r="F5" s="146"/>
      <c r="G5" s="147" t="s">
        <v>1</v>
      </c>
      <c r="H5" s="147"/>
      <c r="I5" s="147"/>
      <c r="J5" s="147"/>
      <c r="K5" s="147"/>
      <c r="L5" s="145"/>
      <c r="M5" s="147"/>
      <c r="N5" s="146"/>
      <c r="O5" s="148" t="s">
        <v>69</v>
      </c>
      <c r="P5" s="149" t="s">
        <v>30</v>
      </c>
    </row>
    <row r="6" spans="1:17" x14ac:dyDescent="0.25">
      <c r="A6" s="150">
        <v>1</v>
      </c>
      <c r="B6" s="332" t="str">
        <f>IF(ISBLANK(Summary!C18),"",Summary!C18)</f>
        <v>Conventional Cashier</v>
      </c>
      <c r="C6" s="332"/>
      <c r="D6" s="332"/>
      <c r="E6" s="332"/>
      <c r="F6" s="332"/>
      <c r="G6" s="151" t="str">
        <f>IF(ISBLANK(Summary!F18),"",Summary!F18)</f>
        <v/>
      </c>
      <c r="H6" s="151"/>
      <c r="I6" s="151"/>
      <c r="J6" s="151"/>
      <c r="K6" s="151"/>
      <c r="L6" s="151"/>
      <c r="M6" s="151"/>
      <c r="N6" s="152"/>
      <c r="O6" s="153">
        <f t="shared" ref="O6:O15" si="0">O91/O$101</f>
        <v>0.33333333333333331</v>
      </c>
      <c r="P6" s="154">
        <f t="shared" ref="P6:P15" si="1">N91*SINH(P79)/O$101</f>
        <v>0</v>
      </c>
    </row>
    <row r="7" spans="1:17" x14ac:dyDescent="0.25">
      <c r="A7" s="150">
        <v>2</v>
      </c>
      <c r="B7" s="332" t="str">
        <f>IF(ISBLANK(Summary!C19),"",Summary!C19)</f>
        <v>Self-Checkout</v>
      </c>
      <c r="C7" s="332"/>
      <c r="D7" s="332"/>
      <c r="E7" s="332"/>
      <c r="F7" s="332"/>
      <c r="G7" s="151" t="str">
        <f>IF(ISBLANK(Summary!F19),"",Summary!F19)</f>
        <v/>
      </c>
      <c r="H7" s="151"/>
      <c r="I7" s="151"/>
      <c r="J7" s="151"/>
      <c r="K7" s="151"/>
      <c r="L7" s="151"/>
      <c r="M7" s="151"/>
      <c r="N7" s="152"/>
      <c r="O7" s="153">
        <f t="shared" si="0"/>
        <v>0.33333333333333331</v>
      </c>
      <c r="P7" s="154">
        <f t="shared" si="1"/>
        <v>0</v>
      </c>
    </row>
    <row r="8" spans="1:17" x14ac:dyDescent="0.25">
      <c r="A8" s="150">
        <v>3</v>
      </c>
      <c r="B8" s="332" t="str">
        <f>IF(ISBLANK(Summary!C20),"",Summary!C20)</f>
        <v>Unmanned Shop</v>
      </c>
      <c r="C8" s="332"/>
      <c r="D8" s="332"/>
      <c r="E8" s="332"/>
      <c r="F8" s="332"/>
      <c r="G8" s="151" t="str">
        <f>IF(ISBLANK(Summary!F20),"",Summary!F20)</f>
        <v/>
      </c>
      <c r="H8" s="151"/>
      <c r="I8" s="151"/>
      <c r="J8" s="151"/>
      <c r="K8" s="151"/>
      <c r="L8" s="151"/>
      <c r="M8" s="151"/>
      <c r="N8" s="152"/>
      <c r="O8" s="153">
        <f t="shared" si="0"/>
        <v>0.33333333333333331</v>
      </c>
      <c r="P8" s="154">
        <f t="shared" si="1"/>
        <v>0</v>
      </c>
    </row>
    <row r="9" spans="1:17" x14ac:dyDescent="0.25">
      <c r="A9" s="150">
        <v>4</v>
      </c>
      <c r="B9" s="332" t="str">
        <f>IF(ISBLANK(Summary!C21),"",Summary!C21)</f>
        <v/>
      </c>
      <c r="C9" s="332"/>
      <c r="D9" s="332"/>
      <c r="E9" s="332"/>
      <c r="F9" s="332"/>
      <c r="G9" s="151" t="str">
        <f>IF(ISBLANK(Summary!F21),"",Summary!F21)</f>
        <v/>
      </c>
      <c r="H9" s="151"/>
      <c r="I9" s="151"/>
      <c r="J9" s="151"/>
      <c r="K9" s="151"/>
      <c r="L9" s="151"/>
      <c r="M9" s="151"/>
      <c r="N9" s="152"/>
      <c r="O9" s="153">
        <f t="shared" si="0"/>
        <v>0</v>
      </c>
      <c r="P9" s="154">
        <f t="shared" si="1"/>
        <v>0</v>
      </c>
    </row>
    <row r="10" spans="1:17" x14ac:dyDescent="0.25">
      <c r="A10" s="150">
        <v>5</v>
      </c>
      <c r="B10" s="332" t="str">
        <f>IF(ISBLANK(Summary!C22),"",Summary!C22)</f>
        <v/>
      </c>
      <c r="C10" s="332"/>
      <c r="D10" s="332"/>
      <c r="E10" s="332"/>
      <c r="F10" s="332"/>
      <c r="G10" s="151" t="str">
        <f>IF(ISBLANK(Summary!F22),"",Summary!F22)</f>
        <v/>
      </c>
      <c r="H10" s="151"/>
      <c r="I10" s="151"/>
      <c r="J10" s="151"/>
      <c r="K10" s="151"/>
      <c r="L10" s="151"/>
      <c r="M10" s="151"/>
      <c r="N10" s="152"/>
      <c r="O10" s="153">
        <f t="shared" si="0"/>
        <v>0</v>
      </c>
      <c r="P10" s="154">
        <f t="shared" si="1"/>
        <v>0</v>
      </c>
    </row>
    <row r="11" spans="1:17" x14ac:dyDescent="0.25">
      <c r="A11" s="150">
        <v>6</v>
      </c>
      <c r="B11" s="332" t="str">
        <f>IF(ISBLANK(Summary!C23),"",Summary!C23)</f>
        <v/>
      </c>
      <c r="C11" s="332"/>
      <c r="D11" s="332"/>
      <c r="E11" s="332"/>
      <c r="F11" s="332"/>
      <c r="G11" s="151" t="str">
        <f>IF(ISBLANK(Summary!F23),"",Summary!F23)</f>
        <v/>
      </c>
      <c r="H11" s="151"/>
      <c r="I11" s="151"/>
      <c r="J11" s="151"/>
      <c r="K11" s="151"/>
      <c r="L11" s="151"/>
      <c r="M11" s="151"/>
      <c r="N11" s="152"/>
      <c r="O11" s="153">
        <f t="shared" si="0"/>
        <v>0</v>
      </c>
      <c r="P11" s="154">
        <f t="shared" si="1"/>
        <v>0</v>
      </c>
    </row>
    <row r="12" spans="1:17" x14ac:dyDescent="0.25">
      <c r="A12" s="150">
        <v>7</v>
      </c>
      <c r="B12" s="332" t="str">
        <f>IF(ISBLANK(Summary!C24),"",Summary!C24)</f>
        <v/>
      </c>
      <c r="C12" s="332"/>
      <c r="D12" s="332"/>
      <c r="E12" s="332"/>
      <c r="F12" s="332"/>
      <c r="G12" s="151" t="str">
        <f>IF(ISBLANK(Summary!F24),"",Summary!F24)</f>
        <v/>
      </c>
      <c r="H12" s="151"/>
      <c r="I12" s="151"/>
      <c r="J12" s="151"/>
      <c r="K12" s="151"/>
      <c r="L12" s="151"/>
      <c r="M12" s="151"/>
      <c r="N12" s="152"/>
      <c r="O12" s="153">
        <f t="shared" si="0"/>
        <v>0</v>
      </c>
      <c r="P12" s="154">
        <f t="shared" si="1"/>
        <v>0</v>
      </c>
    </row>
    <row r="13" spans="1:17" x14ac:dyDescent="0.25">
      <c r="A13" s="150">
        <v>8</v>
      </c>
      <c r="B13" s="332" t="str">
        <f>IF(ISBLANK(Summary!C25),"",Summary!C25)</f>
        <v/>
      </c>
      <c r="C13" s="332"/>
      <c r="D13" s="332"/>
      <c r="E13" s="332"/>
      <c r="F13" s="332"/>
      <c r="G13" s="151" t="str">
        <f>IF(ISBLANK(Summary!F25),"",Summary!F25)</f>
        <v/>
      </c>
      <c r="H13" s="151"/>
      <c r="I13" s="151"/>
      <c r="J13" s="151"/>
      <c r="K13" s="151"/>
      <c r="L13" s="151"/>
      <c r="M13" s="151"/>
      <c r="N13" s="152"/>
      <c r="O13" s="153">
        <f t="shared" si="0"/>
        <v>0</v>
      </c>
      <c r="P13" s="154">
        <f t="shared" si="1"/>
        <v>0</v>
      </c>
    </row>
    <row r="14" spans="1:17" x14ac:dyDescent="0.25">
      <c r="A14" s="150">
        <v>9</v>
      </c>
      <c r="B14" s="332" t="str">
        <f>IF(ISBLANK(Summary!C26),"",Summary!C26)</f>
        <v/>
      </c>
      <c r="C14" s="332"/>
      <c r="D14" s="332"/>
      <c r="E14" s="332"/>
      <c r="F14" s="332"/>
      <c r="G14" s="151" t="str">
        <f>IF(ISBLANK(Summary!F26),"",Summary!F26)</f>
        <v xml:space="preserve">for 9&amp;10 unprotect the input sheets and expand the </v>
      </c>
      <c r="H14" s="151"/>
      <c r="I14" s="151"/>
      <c r="J14" s="151"/>
      <c r="K14" s="151"/>
      <c r="L14" s="151"/>
      <c r="M14" s="151"/>
      <c r="N14" s="152"/>
      <c r="O14" s="153">
        <f t="shared" si="0"/>
        <v>0</v>
      </c>
      <c r="P14" s="154">
        <f t="shared" si="1"/>
        <v>0</v>
      </c>
    </row>
    <row r="15" spans="1:17" x14ac:dyDescent="0.25">
      <c r="A15" s="155">
        <v>10</v>
      </c>
      <c r="B15" s="327" t="str">
        <f>IF(ISBLANK(Summary!C27),"",Summary!C27)</f>
        <v/>
      </c>
      <c r="C15" s="327"/>
      <c r="D15" s="327"/>
      <c r="E15" s="327"/>
      <c r="F15" s="327"/>
      <c r="G15" s="156" t="str">
        <f>IF(ISBLANK(Summary!F27),"",Summary!F27)</f>
        <v>question section ("+" in row 66)</v>
      </c>
      <c r="H15" s="156"/>
      <c r="I15" s="156"/>
      <c r="J15" s="156"/>
      <c r="K15" s="156"/>
      <c r="L15" s="156"/>
      <c r="M15" s="156"/>
      <c r="N15" s="157"/>
      <c r="O15" s="158">
        <f t="shared" si="0"/>
        <v>0</v>
      </c>
      <c r="P15" s="159">
        <f t="shared" si="1"/>
        <v>0</v>
      </c>
      <c r="Q15" s="3"/>
    </row>
    <row r="16" spans="1:17" ht="6" customHeight="1" x14ac:dyDescent="0.25">
      <c r="A16" s="22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7"/>
      <c r="P16" s="3"/>
      <c r="Q16" s="3"/>
    </row>
    <row r="17" spans="1:24" ht="12.75" customHeight="1" x14ac:dyDescent="0.3">
      <c r="A17" s="6"/>
      <c r="B17" s="328" t="s">
        <v>121</v>
      </c>
      <c r="C17" s="328"/>
      <c r="D17" s="328"/>
      <c r="E17" s="328"/>
      <c r="F17" s="1">
        <v>1</v>
      </c>
      <c r="G17" s="329"/>
      <c r="H17" s="329"/>
      <c r="I17" s="6"/>
      <c r="J17" s="19" t="s">
        <v>17</v>
      </c>
      <c r="K17" s="162">
        <f>Summary!K7</f>
        <v>0.1</v>
      </c>
      <c r="L17" s="27" t="s">
        <v>40</v>
      </c>
      <c r="M17" s="163">
        <f>(N101-K1)/((2.7699*K1-4.3513)-K1)</f>
        <v>0</v>
      </c>
      <c r="N17" s="27"/>
      <c r="O17" s="164">
        <f>Summary!K5</f>
        <v>1</v>
      </c>
      <c r="P17" s="3"/>
    </row>
    <row r="18" spans="1:24" ht="12.75" customHeight="1" x14ac:dyDescent="0.25">
      <c r="A18" s="6"/>
      <c r="B18" s="151" t="s">
        <v>71</v>
      </c>
      <c r="C18" s="7"/>
      <c r="D18" s="6"/>
      <c r="E18" s="166"/>
      <c r="F18" s="166" t="s">
        <v>72</v>
      </c>
      <c r="G18" s="30"/>
      <c r="H18" s="166" t="s">
        <v>0</v>
      </c>
      <c r="I18" s="7"/>
      <c r="J18" s="6"/>
      <c r="K18" s="6"/>
      <c r="L18" s="6"/>
      <c r="M18" s="27" t="s">
        <v>37</v>
      </c>
      <c r="N18" s="15"/>
      <c r="O18" s="164"/>
      <c r="P18" s="3"/>
      <c r="Q18" s="3"/>
    </row>
    <row r="19" spans="1:24" ht="12.75" customHeight="1" x14ac:dyDescent="0.3">
      <c r="A19" s="167"/>
      <c r="B19" s="168"/>
      <c r="C19" s="169"/>
      <c r="D19" s="170"/>
      <c r="E19" s="170"/>
      <c r="F19" s="170"/>
      <c r="G19" s="170" t="s">
        <v>68</v>
      </c>
      <c r="H19" s="170"/>
      <c r="I19" s="171"/>
      <c r="J19" s="172"/>
      <c r="K19" s="173" t="s">
        <v>73</v>
      </c>
      <c r="L19" s="174" t="s">
        <v>74</v>
      </c>
      <c r="M19" s="6"/>
      <c r="N19" s="7"/>
      <c r="O19" s="164" t="s">
        <v>75</v>
      </c>
      <c r="P19" s="7"/>
    </row>
    <row r="20" spans="1:24" ht="12.75" customHeight="1" x14ac:dyDescent="0.3">
      <c r="A20" s="175"/>
      <c r="B20" s="176" t="s">
        <v>76</v>
      </c>
      <c r="C20" s="177" t="s">
        <v>77</v>
      </c>
      <c r="D20" s="330" t="s">
        <v>75</v>
      </c>
      <c r="E20" s="330"/>
      <c r="F20" s="330"/>
      <c r="G20" s="178"/>
      <c r="H20" s="331" t="s">
        <v>78</v>
      </c>
      <c r="I20" s="331"/>
      <c r="J20" s="331"/>
      <c r="K20" s="179" t="s">
        <v>79</v>
      </c>
      <c r="L20" s="180" t="s">
        <v>80</v>
      </c>
      <c r="M20" s="6"/>
      <c r="N20" s="6"/>
      <c r="O20" s="164" t="s">
        <v>78</v>
      </c>
      <c r="P20" s="3"/>
      <c r="T20" s="104"/>
      <c r="U20" s="104"/>
    </row>
    <row r="21" spans="1:24" s="192" customFormat="1" ht="12.75" customHeight="1" x14ac:dyDescent="0.25">
      <c r="A21" s="181">
        <f t="shared" ref="A21:A65" si="2">IF(AND(B21&lt;=$K$1,C21&lt;=$K$1),B21*10+C21,0)</f>
        <v>12</v>
      </c>
      <c r="B21" s="182">
        <v>1</v>
      </c>
      <c r="C21" s="183">
        <v>2</v>
      </c>
      <c r="D21" s="184" t="str">
        <f>VLOOKUP($B21,$A$6:$D$15,2)</f>
        <v>Conventional Cashier</v>
      </c>
      <c r="E21" s="185"/>
      <c r="F21" s="185"/>
      <c r="G21" s="186"/>
      <c r="H21" s="323" t="str">
        <f t="shared" ref="H21:H65" si="3">IF(B21&gt;0,VLOOKUP($C21,$A$6:$D$15,2),"")</f>
        <v>Self-Checkout</v>
      </c>
      <c r="I21" s="323"/>
      <c r="J21" s="323"/>
      <c r="K21" s="187"/>
      <c r="L21" s="188"/>
      <c r="M21" s="189" t="str">
        <f t="shared" ref="M21:M65" ca="1" si="4">IF(AND(P21&lt;&gt;0,L$66&gt;=($K$1*($K$1-1)/2)),RANK(P21,P$21:P$65),"")</f>
        <v/>
      </c>
      <c r="N21" s="190" t="str">
        <f t="shared" ref="N21:N65" ca="1" si="5">IF(M21&lt;4,OFFSET($B$123,$B21,$C21),"")</f>
        <v/>
      </c>
      <c r="O21" s="191">
        <f t="shared" ref="O21:O65" si="6">IF(AND(L21&lt;&gt;"",K21&lt;&gt;""),L21^(IF(K21="a",1,-1)),1)</f>
        <v>1</v>
      </c>
      <c r="P21" s="191">
        <f t="shared" ref="P21:P65" ca="1" si="7">IF(AND($M$17&gt;=$K$17,$A21&gt;0),OFFSET($B$101,$B21,$C21),0)</f>
        <v>0</v>
      </c>
      <c r="T21" s="193"/>
      <c r="U21" s="193"/>
      <c r="W21" s="194"/>
      <c r="X21" s="194"/>
    </row>
    <row r="22" spans="1:24" ht="12.75" customHeight="1" x14ac:dyDescent="0.25">
      <c r="A22" s="181">
        <f t="shared" si="2"/>
        <v>13</v>
      </c>
      <c r="B22" s="195">
        <v>1</v>
      </c>
      <c r="C22" s="196">
        <v>3</v>
      </c>
      <c r="D22" s="184" t="str">
        <f t="shared" ref="D22:D65" si="8">IF(OR(B22=B21,A22=0),"",VLOOKUP($B22,$A$6:$D$15,2))</f>
        <v/>
      </c>
      <c r="E22" s="185"/>
      <c r="F22" s="185"/>
      <c r="G22" s="186"/>
      <c r="H22" s="323" t="str">
        <f t="shared" si="3"/>
        <v>Unmanned Shop</v>
      </c>
      <c r="I22" s="323"/>
      <c r="J22" s="323"/>
      <c r="K22" s="2"/>
      <c r="L22" s="197"/>
      <c r="M22" s="189" t="str">
        <f t="shared" ca="1" si="4"/>
        <v/>
      </c>
      <c r="N22" s="190" t="str">
        <f t="shared" ca="1" si="5"/>
        <v/>
      </c>
      <c r="O22" s="191">
        <f t="shared" si="6"/>
        <v>1</v>
      </c>
      <c r="P22" s="191">
        <f t="shared" ca="1" si="7"/>
        <v>0</v>
      </c>
      <c r="T22" s="12"/>
      <c r="U22" s="12"/>
      <c r="W22" s="194"/>
      <c r="X22" s="87"/>
    </row>
    <row r="23" spans="1:24" ht="12.75" customHeight="1" x14ac:dyDescent="0.25">
      <c r="A23" s="181">
        <f t="shared" si="2"/>
        <v>0</v>
      </c>
      <c r="B23" s="195">
        <v>1</v>
      </c>
      <c r="C23" s="196">
        <v>4</v>
      </c>
      <c r="D23" s="184" t="str">
        <f t="shared" si="8"/>
        <v/>
      </c>
      <c r="E23" s="185"/>
      <c r="F23" s="185"/>
      <c r="G23" s="186"/>
      <c r="H23" s="323" t="str">
        <f t="shared" si="3"/>
        <v/>
      </c>
      <c r="I23" s="323"/>
      <c r="J23" s="323"/>
      <c r="K23" s="2"/>
      <c r="L23" s="197"/>
      <c r="M23" s="189" t="str">
        <f t="shared" ca="1" si="4"/>
        <v/>
      </c>
      <c r="N23" s="190" t="str">
        <f t="shared" ca="1" si="5"/>
        <v/>
      </c>
      <c r="O23" s="191">
        <f t="shared" si="6"/>
        <v>1</v>
      </c>
      <c r="P23" s="191">
        <f t="shared" ca="1" si="7"/>
        <v>0</v>
      </c>
      <c r="T23" s="12"/>
      <c r="U23" s="12"/>
      <c r="W23" s="194"/>
      <c r="X23" s="87"/>
    </row>
    <row r="24" spans="1:24" ht="12.75" customHeight="1" x14ac:dyDescent="0.25">
      <c r="A24" s="181">
        <f t="shared" si="2"/>
        <v>0</v>
      </c>
      <c r="B24" s="195">
        <v>1</v>
      </c>
      <c r="C24" s="196">
        <v>5</v>
      </c>
      <c r="D24" s="184" t="str">
        <f t="shared" si="8"/>
        <v/>
      </c>
      <c r="E24" s="185"/>
      <c r="F24" s="185"/>
      <c r="G24" s="186"/>
      <c r="H24" s="323" t="str">
        <f t="shared" si="3"/>
        <v/>
      </c>
      <c r="I24" s="323"/>
      <c r="J24" s="323"/>
      <c r="K24" s="2"/>
      <c r="L24" s="197"/>
      <c r="M24" s="189" t="str">
        <f t="shared" ca="1" si="4"/>
        <v/>
      </c>
      <c r="N24" s="190" t="str">
        <f t="shared" ca="1" si="5"/>
        <v/>
      </c>
      <c r="O24" s="191">
        <f t="shared" si="6"/>
        <v>1</v>
      </c>
      <c r="P24" s="191">
        <f t="shared" ca="1" si="7"/>
        <v>0</v>
      </c>
      <c r="T24" s="12"/>
      <c r="U24" s="12"/>
      <c r="W24" s="194"/>
      <c r="X24" s="87"/>
    </row>
    <row r="25" spans="1:24" ht="12.75" customHeight="1" x14ac:dyDescent="0.25">
      <c r="A25" s="181">
        <f t="shared" si="2"/>
        <v>0</v>
      </c>
      <c r="B25" s="195">
        <v>1</v>
      </c>
      <c r="C25" s="196">
        <v>6</v>
      </c>
      <c r="D25" s="184" t="str">
        <f t="shared" si="8"/>
        <v/>
      </c>
      <c r="E25" s="185"/>
      <c r="F25" s="185"/>
      <c r="G25" s="186"/>
      <c r="H25" s="323" t="str">
        <f t="shared" si="3"/>
        <v/>
      </c>
      <c r="I25" s="323"/>
      <c r="J25" s="323"/>
      <c r="K25" s="2"/>
      <c r="L25" s="197"/>
      <c r="M25" s="189" t="str">
        <f t="shared" ca="1" si="4"/>
        <v/>
      </c>
      <c r="N25" s="190" t="str">
        <f t="shared" ca="1" si="5"/>
        <v/>
      </c>
      <c r="O25" s="191">
        <f t="shared" si="6"/>
        <v>1</v>
      </c>
      <c r="P25" s="191">
        <f t="shared" ca="1" si="7"/>
        <v>0</v>
      </c>
      <c r="T25" s="12"/>
      <c r="U25" s="12"/>
      <c r="W25" s="194"/>
      <c r="X25" s="87"/>
    </row>
    <row r="26" spans="1:24" ht="12.75" customHeight="1" x14ac:dyDescent="0.25">
      <c r="A26" s="181">
        <f t="shared" si="2"/>
        <v>0</v>
      </c>
      <c r="B26" s="195">
        <v>1</v>
      </c>
      <c r="C26" s="196">
        <v>7</v>
      </c>
      <c r="D26" s="184" t="str">
        <f t="shared" si="8"/>
        <v/>
      </c>
      <c r="E26" s="185"/>
      <c r="F26" s="185"/>
      <c r="G26" s="186"/>
      <c r="H26" s="323" t="str">
        <f t="shared" si="3"/>
        <v/>
      </c>
      <c r="I26" s="323"/>
      <c r="J26" s="323"/>
      <c r="K26" s="2"/>
      <c r="L26" s="197"/>
      <c r="M26" s="189" t="str">
        <f t="shared" ca="1" si="4"/>
        <v/>
      </c>
      <c r="N26" s="190" t="str">
        <f t="shared" ca="1" si="5"/>
        <v/>
      </c>
      <c r="O26" s="191">
        <f t="shared" si="6"/>
        <v>1</v>
      </c>
      <c r="P26" s="191">
        <f t="shared" ca="1" si="7"/>
        <v>0</v>
      </c>
      <c r="T26" s="12"/>
      <c r="U26" s="12"/>
      <c r="W26" s="194"/>
      <c r="X26" s="87"/>
    </row>
    <row r="27" spans="1:24" ht="12.75" customHeight="1" x14ac:dyDescent="0.25">
      <c r="A27" s="181">
        <f t="shared" si="2"/>
        <v>0</v>
      </c>
      <c r="B27" s="198">
        <v>1</v>
      </c>
      <c r="C27" s="199">
        <v>8</v>
      </c>
      <c r="D27" s="200" t="str">
        <f t="shared" si="8"/>
        <v/>
      </c>
      <c r="E27" s="201"/>
      <c r="F27" s="201"/>
      <c r="G27" s="202"/>
      <c r="H27" s="324" t="str">
        <f t="shared" si="3"/>
        <v/>
      </c>
      <c r="I27" s="324"/>
      <c r="J27" s="324"/>
      <c r="K27" s="2"/>
      <c r="L27" s="197"/>
      <c r="M27" s="189" t="str">
        <f t="shared" ca="1" si="4"/>
        <v/>
      </c>
      <c r="N27" s="190" t="str">
        <f t="shared" ca="1" si="5"/>
        <v/>
      </c>
      <c r="O27" s="191">
        <f t="shared" si="6"/>
        <v>1</v>
      </c>
      <c r="P27" s="191">
        <f t="shared" ca="1" si="7"/>
        <v>0</v>
      </c>
      <c r="T27" s="12"/>
      <c r="U27" s="12"/>
      <c r="W27" s="194"/>
      <c r="X27" s="87"/>
    </row>
    <row r="28" spans="1:24" ht="12.75" customHeight="1" x14ac:dyDescent="0.25">
      <c r="A28" s="181">
        <f t="shared" si="2"/>
        <v>23</v>
      </c>
      <c r="B28" s="195">
        <v>2</v>
      </c>
      <c r="C28" s="196">
        <v>3</v>
      </c>
      <c r="D28" s="184" t="str">
        <f t="shared" si="8"/>
        <v>Self-Checkout</v>
      </c>
      <c r="E28" s="185"/>
      <c r="F28" s="185"/>
      <c r="G28" s="186"/>
      <c r="H28" s="323" t="str">
        <f t="shared" si="3"/>
        <v>Unmanned Shop</v>
      </c>
      <c r="I28" s="323"/>
      <c r="J28" s="323"/>
      <c r="K28" s="2"/>
      <c r="L28" s="197"/>
      <c r="M28" s="189" t="str">
        <f t="shared" ca="1" si="4"/>
        <v/>
      </c>
      <c r="N28" s="190" t="str">
        <f t="shared" ca="1" si="5"/>
        <v/>
      </c>
      <c r="O28" s="191">
        <f t="shared" si="6"/>
        <v>1</v>
      </c>
      <c r="P28" s="191">
        <f t="shared" ca="1" si="7"/>
        <v>0</v>
      </c>
      <c r="T28" s="12"/>
      <c r="U28" s="12"/>
      <c r="W28" s="194"/>
      <c r="X28" s="87"/>
    </row>
    <row r="29" spans="1:24" ht="12.75" customHeight="1" x14ac:dyDescent="0.25">
      <c r="A29" s="181">
        <f t="shared" si="2"/>
        <v>0</v>
      </c>
      <c r="B29" s="195">
        <v>2</v>
      </c>
      <c r="C29" s="196">
        <v>4</v>
      </c>
      <c r="D29" s="184" t="str">
        <f t="shared" si="8"/>
        <v/>
      </c>
      <c r="E29" s="185"/>
      <c r="F29" s="185"/>
      <c r="G29" s="186"/>
      <c r="H29" s="323" t="str">
        <f t="shared" si="3"/>
        <v/>
      </c>
      <c r="I29" s="323"/>
      <c r="J29" s="323"/>
      <c r="K29" s="2"/>
      <c r="L29" s="197"/>
      <c r="M29" s="189" t="str">
        <f t="shared" ca="1" si="4"/>
        <v/>
      </c>
      <c r="N29" s="190" t="str">
        <f t="shared" ca="1" si="5"/>
        <v/>
      </c>
      <c r="O29" s="191">
        <f t="shared" si="6"/>
        <v>1</v>
      </c>
      <c r="P29" s="191">
        <f t="shared" ca="1" si="7"/>
        <v>0</v>
      </c>
      <c r="T29" s="12"/>
      <c r="U29" s="12"/>
      <c r="W29" s="194"/>
      <c r="X29" s="87"/>
    </row>
    <row r="30" spans="1:24" ht="12.75" customHeight="1" x14ac:dyDescent="0.25">
      <c r="A30" s="181">
        <f t="shared" si="2"/>
        <v>0</v>
      </c>
      <c r="B30" s="195">
        <v>2</v>
      </c>
      <c r="C30" s="196">
        <v>5</v>
      </c>
      <c r="D30" s="184" t="str">
        <f t="shared" si="8"/>
        <v/>
      </c>
      <c r="E30" s="185"/>
      <c r="F30" s="185"/>
      <c r="G30" s="186"/>
      <c r="H30" s="323" t="str">
        <f t="shared" si="3"/>
        <v/>
      </c>
      <c r="I30" s="323"/>
      <c r="J30" s="323"/>
      <c r="K30" s="2"/>
      <c r="L30" s="197"/>
      <c r="M30" s="189" t="str">
        <f t="shared" ca="1" si="4"/>
        <v/>
      </c>
      <c r="N30" s="190" t="str">
        <f t="shared" ca="1" si="5"/>
        <v/>
      </c>
      <c r="O30" s="191">
        <f t="shared" si="6"/>
        <v>1</v>
      </c>
      <c r="P30" s="191">
        <f t="shared" ca="1" si="7"/>
        <v>0</v>
      </c>
      <c r="T30" s="12"/>
      <c r="U30" s="12"/>
      <c r="W30" s="194"/>
      <c r="X30" s="87"/>
    </row>
    <row r="31" spans="1:24" ht="12.75" customHeight="1" x14ac:dyDescent="0.25">
      <c r="A31" s="181">
        <f t="shared" si="2"/>
        <v>0</v>
      </c>
      <c r="B31" s="195">
        <v>2</v>
      </c>
      <c r="C31" s="196">
        <v>6</v>
      </c>
      <c r="D31" s="184" t="str">
        <f t="shared" si="8"/>
        <v/>
      </c>
      <c r="E31" s="185"/>
      <c r="F31" s="185"/>
      <c r="G31" s="186"/>
      <c r="H31" s="323" t="str">
        <f t="shared" si="3"/>
        <v/>
      </c>
      <c r="I31" s="323"/>
      <c r="J31" s="323"/>
      <c r="K31" s="2"/>
      <c r="L31" s="197"/>
      <c r="M31" s="189" t="str">
        <f t="shared" ca="1" si="4"/>
        <v/>
      </c>
      <c r="N31" s="190" t="str">
        <f t="shared" ca="1" si="5"/>
        <v/>
      </c>
      <c r="O31" s="191">
        <f t="shared" si="6"/>
        <v>1</v>
      </c>
      <c r="P31" s="191">
        <f t="shared" ca="1" si="7"/>
        <v>0</v>
      </c>
      <c r="T31" s="12"/>
      <c r="U31" s="12"/>
      <c r="W31" s="194"/>
      <c r="X31" s="87"/>
    </row>
    <row r="32" spans="1:24" ht="12.75" customHeight="1" x14ac:dyDescent="0.25">
      <c r="A32" s="181">
        <f t="shared" si="2"/>
        <v>0</v>
      </c>
      <c r="B32" s="195">
        <v>2</v>
      </c>
      <c r="C32" s="196">
        <v>7</v>
      </c>
      <c r="D32" s="184" t="str">
        <f t="shared" si="8"/>
        <v/>
      </c>
      <c r="E32" s="185"/>
      <c r="F32" s="185"/>
      <c r="G32" s="186"/>
      <c r="H32" s="323" t="str">
        <f t="shared" si="3"/>
        <v/>
      </c>
      <c r="I32" s="323"/>
      <c r="J32" s="323"/>
      <c r="K32" s="2"/>
      <c r="L32" s="197"/>
      <c r="M32" s="189" t="str">
        <f t="shared" ca="1" si="4"/>
        <v/>
      </c>
      <c r="N32" s="190" t="str">
        <f t="shared" ca="1" si="5"/>
        <v/>
      </c>
      <c r="O32" s="191">
        <f t="shared" si="6"/>
        <v>1</v>
      </c>
      <c r="P32" s="191">
        <f t="shared" ca="1" si="7"/>
        <v>0</v>
      </c>
      <c r="T32" s="12"/>
      <c r="U32" s="12"/>
      <c r="W32" s="194"/>
      <c r="X32" s="87"/>
    </row>
    <row r="33" spans="1:24" ht="12.75" customHeight="1" x14ac:dyDescent="0.25">
      <c r="A33" s="181">
        <f t="shared" si="2"/>
        <v>0</v>
      </c>
      <c r="B33" s="198">
        <v>2</v>
      </c>
      <c r="C33" s="199">
        <v>8</v>
      </c>
      <c r="D33" s="200" t="str">
        <f t="shared" si="8"/>
        <v/>
      </c>
      <c r="E33" s="201"/>
      <c r="F33" s="201"/>
      <c r="G33" s="202"/>
      <c r="H33" s="324" t="str">
        <f t="shared" si="3"/>
        <v/>
      </c>
      <c r="I33" s="324"/>
      <c r="J33" s="324"/>
      <c r="K33" s="2"/>
      <c r="L33" s="197"/>
      <c r="M33" s="189" t="str">
        <f t="shared" ca="1" si="4"/>
        <v/>
      </c>
      <c r="N33" s="190" t="str">
        <f t="shared" ca="1" si="5"/>
        <v/>
      </c>
      <c r="O33" s="191">
        <f t="shared" si="6"/>
        <v>1</v>
      </c>
      <c r="P33" s="191">
        <f t="shared" ca="1" si="7"/>
        <v>0</v>
      </c>
      <c r="T33" s="12"/>
      <c r="U33" s="12"/>
      <c r="W33" s="194"/>
      <c r="X33" s="87"/>
    </row>
    <row r="34" spans="1:24" ht="12.75" customHeight="1" x14ac:dyDescent="0.25">
      <c r="A34" s="181">
        <f t="shared" si="2"/>
        <v>0</v>
      </c>
      <c r="B34" s="195">
        <v>3</v>
      </c>
      <c r="C34" s="196">
        <v>4</v>
      </c>
      <c r="D34" s="184" t="str">
        <f t="shared" si="8"/>
        <v/>
      </c>
      <c r="E34" s="185"/>
      <c r="F34" s="185"/>
      <c r="G34" s="186"/>
      <c r="H34" s="323" t="str">
        <f t="shared" si="3"/>
        <v/>
      </c>
      <c r="I34" s="323"/>
      <c r="J34" s="323"/>
      <c r="K34" s="2"/>
      <c r="L34" s="197"/>
      <c r="M34" s="189" t="str">
        <f t="shared" ca="1" si="4"/>
        <v/>
      </c>
      <c r="N34" s="190" t="str">
        <f t="shared" ca="1" si="5"/>
        <v/>
      </c>
      <c r="O34" s="191">
        <f t="shared" si="6"/>
        <v>1</v>
      </c>
      <c r="P34" s="191">
        <f t="shared" ca="1" si="7"/>
        <v>0</v>
      </c>
      <c r="T34" s="12"/>
      <c r="U34" s="12"/>
      <c r="W34" s="194"/>
      <c r="X34" s="87"/>
    </row>
    <row r="35" spans="1:24" ht="12.75" customHeight="1" x14ac:dyDescent="0.25">
      <c r="A35" s="181">
        <f t="shared" si="2"/>
        <v>0</v>
      </c>
      <c r="B35" s="195">
        <v>3</v>
      </c>
      <c r="C35" s="196">
        <v>5</v>
      </c>
      <c r="D35" s="184" t="str">
        <f t="shared" si="8"/>
        <v/>
      </c>
      <c r="E35" s="185"/>
      <c r="F35" s="185"/>
      <c r="G35" s="186"/>
      <c r="H35" s="323" t="str">
        <f t="shared" si="3"/>
        <v/>
      </c>
      <c r="I35" s="323"/>
      <c r="J35" s="323"/>
      <c r="K35" s="2"/>
      <c r="L35" s="197"/>
      <c r="M35" s="189" t="str">
        <f t="shared" ca="1" si="4"/>
        <v/>
      </c>
      <c r="N35" s="190" t="str">
        <f t="shared" ca="1" si="5"/>
        <v/>
      </c>
      <c r="O35" s="191">
        <f t="shared" si="6"/>
        <v>1</v>
      </c>
      <c r="P35" s="191">
        <f t="shared" ca="1" si="7"/>
        <v>0</v>
      </c>
      <c r="T35" s="12"/>
      <c r="U35" s="12"/>
      <c r="W35" s="194"/>
      <c r="X35" s="87"/>
    </row>
    <row r="36" spans="1:24" ht="12.75" customHeight="1" x14ac:dyDescent="0.25">
      <c r="A36" s="181">
        <f t="shared" si="2"/>
        <v>0</v>
      </c>
      <c r="B36" s="195">
        <v>3</v>
      </c>
      <c r="C36" s="196">
        <v>6</v>
      </c>
      <c r="D36" s="184" t="str">
        <f t="shared" si="8"/>
        <v/>
      </c>
      <c r="E36" s="185"/>
      <c r="F36" s="185"/>
      <c r="G36" s="186"/>
      <c r="H36" s="323" t="str">
        <f t="shared" si="3"/>
        <v/>
      </c>
      <c r="I36" s="323"/>
      <c r="J36" s="323"/>
      <c r="K36" s="2"/>
      <c r="L36" s="197"/>
      <c r="M36" s="189" t="str">
        <f t="shared" ca="1" si="4"/>
        <v/>
      </c>
      <c r="N36" s="190" t="str">
        <f t="shared" ca="1" si="5"/>
        <v/>
      </c>
      <c r="O36" s="191">
        <f t="shared" si="6"/>
        <v>1</v>
      </c>
      <c r="P36" s="191">
        <f t="shared" ca="1" si="7"/>
        <v>0</v>
      </c>
      <c r="T36" s="12"/>
      <c r="U36" s="12"/>
      <c r="W36" s="194"/>
      <c r="X36" s="87"/>
    </row>
    <row r="37" spans="1:24" ht="12.75" customHeight="1" x14ac:dyDescent="0.25">
      <c r="A37" s="181">
        <f t="shared" si="2"/>
        <v>0</v>
      </c>
      <c r="B37" s="195">
        <v>3</v>
      </c>
      <c r="C37" s="196">
        <v>7</v>
      </c>
      <c r="D37" s="184" t="str">
        <f t="shared" si="8"/>
        <v/>
      </c>
      <c r="E37" s="185"/>
      <c r="F37" s="185"/>
      <c r="G37" s="186"/>
      <c r="H37" s="323" t="str">
        <f t="shared" si="3"/>
        <v/>
      </c>
      <c r="I37" s="323"/>
      <c r="J37" s="323"/>
      <c r="K37" s="2"/>
      <c r="L37" s="197"/>
      <c r="M37" s="189" t="str">
        <f t="shared" ca="1" si="4"/>
        <v/>
      </c>
      <c r="N37" s="190" t="str">
        <f t="shared" ca="1" si="5"/>
        <v/>
      </c>
      <c r="O37" s="191">
        <f t="shared" si="6"/>
        <v>1</v>
      </c>
      <c r="P37" s="191">
        <f t="shared" ca="1" si="7"/>
        <v>0</v>
      </c>
      <c r="T37" s="12"/>
      <c r="U37" s="12"/>
      <c r="W37" s="194"/>
      <c r="X37" s="87"/>
    </row>
    <row r="38" spans="1:24" ht="12.75" customHeight="1" x14ac:dyDescent="0.25">
      <c r="A38" s="181">
        <f t="shared" si="2"/>
        <v>0</v>
      </c>
      <c r="B38" s="198">
        <v>3</v>
      </c>
      <c r="C38" s="199">
        <v>8</v>
      </c>
      <c r="D38" s="200" t="str">
        <f t="shared" si="8"/>
        <v/>
      </c>
      <c r="E38" s="201"/>
      <c r="F38" s="201"/>
      <c r="G38" s="202"/>
      <c r="H38" s="324" t="str">
        <f t="shared" si="3"/>
        <v/>
      </c>
      <c r="I38" s="324"/>
      <c r="J38" s="324"/>
      <c r="K38" s="2"/>
      <c r="L38" s="197"/>
      <c r="M38" s="189" t="str">
        <f t="shared" ca="1" si="4"/>
        <v/>
      </c>
      <c r="N38" s="190" t="str">
        <f t="shared" ca="1" si="5"/>
        <v/>
      </c>
      <c r="O38" s="191">
        <f t="shared" si="6"/>
        <v>1</v>
      </c>
      <c r="P38" s="191">
        <f t="shared" ca="1" si="7"/>
        <v>0</v>
      </c>
      <c r="T38" s="12"/>
      <c r="U38" s="12"/>
      <c r="W38" s="194"/>
      <c r="X38" s="87"/>
    </row>
    <row r="39" spans="1:24" ht="12.75" customHeight="1" x14ac:dyDescent="0.25">
      <c r="A39" s="181">
        <f t="shared" si="2"/>
        <v>0</v>
      </c>
      <c r="B39" s="195">
        <v>4</v>
      </c>
      <c r="C39" s="196">
        <v>5</v>
      </c>
      <c r="D39" s="184" t="str">
        <f t="shared" si="8"/>
        <v/>
      </c>
      <c r="E39" s="185"/>
      <c r="F39" s="185"/>
      <c r="G39" s="186"/>
      <c r="H39" s="323" t="str">
        <f t="shared" si="3"/>
        <v/>
      </c>
      <c r="I39" s="323"/>
      <c r="J39" s="323"/>
      <c r="K39" s="2"/>
      <c r="L39" s="197"/>
      <c r="M39" s="189" t="str">
        <f t="shared" ca="1" si="4"/>
        <v/>
      </c>
      <c r="N39" s="190" t="str">
        <f t="shared" ca="1" si="5"/>
        <v/>
      </c>
      <c r="O39" s="191">
        <f t="shared" si="6"/>
        <v>1</v>
      </c>
      <c r="P39" s="191">
        <f t="shared" ca="1" si="7"/>
        <v>0</v>
      </c>
      <c r="T39" s="12"/>
      <c r="U39" s="12"/>
      <c r="W39" s="194"/>
      <c r="X39" s="87"/>
    </row>
    <row r="40" spans="1:24" ht="12.75" customHeight="1" x14ac:dyDescent="0.25">
      <c r="A40" s="181">
        <f t="shared" si="2"/>
        <v>0</v>
      </c>
      <c r="B40" s="195">
        <v>4</v>
      </c>
      <c r="C40" s="196">
        <v>6</v>
      </c>
      <c r="D40" s="184" t="str">
        <f t="shared" si="8"/>
        <v/>
      </c>
      <c r="E40" s="185"/>
      <c r="F40" s="185"/>
      <c r="G40" s="186"/>
      <c r="H40" s="323" t="str">
        <f t="shared" si="3"/>
        <v/>
      </c>
      <c r="I40" s="323"/>
      <c r="J40" s="323"/>
      <c r="K40" s="2"/>
      <c r="L40" s="203"/>
      <c r="M40" s="189" t="str">
        <f t="shared" ca="1" si="4"/>
        <v/>
      </c>
      <c r="N40" s="190" t="str">
        <f t="shared" ca="1" si="5"/>
        <v/>
      </c>
      <c r="O40" s="191">
        <f t="shared" si="6"/>
        <v>1</v>
      </c>
      <c r="P40" s="191">
        <f t="shared" ca="1" si="7"/>
        <v>0</v>
      </c>
      <c r="T40" s="12"/>
      <c r="U40" s="12"/>
      <c r="W40" s="194"/>
      <c r="X40" s="87"/>
    </row>
    <row r="41" spans="1:24" ht="12.75" customHeight="1" x14ac:dyDescent="0.25">
      <c r="A41" s="181">
        <f t="shared" si="2"/>
        <v>0</v>
      </c>
      <c r="B41" s="195">
        <v>4</v>
      </c>
      <c r="C41" s="196">
        <v>7</v>
      </c>
      <c r="D41" s="184" t="str">
        <f t="shared" si="8"/>
        <v/>
      </c>
      <c r="E41" s="185"/>
      <c r="F41" s="185"/>
      <c r="G41" s="186"/>
      <c r="H41" s="323" t="str">
        <f t="shared" si="3"/>
        <v/>
      </c>
      <c r="I41" s="323"/>
      <c r="J41" s="323"/>
      <c r="K41" s="2"/>
      <c r="L41" s="203"/>
      <c r="M41" s="189" t="str">
        <f t="shared" ca="1" si="4"/>
        <v/>
      </c>
      <c r="N41" s="190" t="str">
        <f t="shared" ca="1" si="5"/>
        <v/>
      </c>
      <c r="O41" s="191">
        <f t="shared" si="6"/>
        <v>1</v>
      </c>
      <c r="P41" s="191">
        <f t="shared" ca="1" si="7"/>
        <v>0</v>
      </c>
      <c r="T41" s="12"/>
      <c r="U41" s="12"/>
      <c r="W41" s="194"/>
      <c r="X41" s="87"/>
    </row>
    <row r="42" spans="1:24" ht="12.75" customHeight="1" x14ac:dyDescent="0.25">
      <c r="A42" s="181">
        <f t="shared" si="2"/>
        <v>0</v>
      </c>
      <c r="B42" s="198">
        <v>4</v>
      </c>
      <c r="C42" s="199">
        <v>8</v>
      </c>
      <c r="D42" s="200" t="str">
        <f t="shared" si="8"/>
        <v/>
      </c>
      <c r="E42" s="201"/>
      <c r="F42" s="201"/>
      <c r="G42" s="202"/>
      <c r="H42" s="324" t="str">
        <f t="shared" si="3"/>
        <v/>
      </c>
      <c r="I42" s="324"/>
      <c r="J42" s="324"/>
      <c r="K42" s="2"/>
      <c r="L42" s="203"/>
      <c r="M42" s="189" t="str">
        <f t="shared" ca="1" si="4"/>
        <v/>
      </c>
      <c r="N42" s="190" t="str">
        <f t="shared" ca="1" si="5"/>
        <v/>
      </c>
      <c r="O42" s="191">
        <f t="shared" si="6"/>
        <v>1</v>
      </c>
      <c r="P42" s="191">
        <f t="shared" ca="1" si="7"/>
        <v>0</v>
      </c>
      <c r="T42" s="12"/>
      <c r="U42" s="12"/>
    </row>
    <row r="43" spans="1:24" ht="12.75" customHeight="1" x14ac:dyDescent="0.25">
      <c r="A43" s="181">
        <f t="shared" si="2"/>
        <v>0</v>
      </c>
      <c r="B43" s="195">
        <v>5</v>
      </c>
      <c r="C43" s="196">
        <v>6</v>
      </c>
      <c r="D43" s="184" t="str">
        <f t="shared" si="8"/>
        <v/>
      </c>
      <c r="E43" s="185"/>
      <c r="F43" s="185"/>
      <c r="G43" s="204"/>
      <c r="H43" s="323" t="str">
        <f t="shared" si="3"/>
        <v/>
      </c>
      <c r="I43" s="323"/>
      <c r="J43" s="323"/>
      <c r="K43" s="2"/>
      <c r="L43" s="203"/>
      <c r="M43" s="189" t="str">
        <f t="shared" ca="1" si="4"/>
        <v/>
      </c>
      <c r="N43" s="190" t="str">
        <f t="shared" ca="1" si="5"/>
        <v/>
      </c>
      <c r="O43" s="191">
        <f t="shared" si="6"/>
        <v>1</v>
      </c>
      <c r="P43" s="191">
        <f t="shared" ca="1" si="7"/>
        <v>0</v>
      </c>
      <c r="T43" s="12"/>
      <c r="U43" s="12"/>
    </row>
    <row r="44" spans="1:24" ht="12.75" customHeight="1" x14ac:dyDescent="0.25">
      <c r="A44" s="181">
        <f t="shared" si="2"/>
        <v>0</v>
      </c>
      <c r="B44" s="195">
        <v>5</v>
      </c>
      <c r="C44" s="196">
        <v>7</v>
      </c>
      <c r="D44" s="184" t="str">
        <f t="shared" si="8"/>
        <v/>
      </c>
      <c r="E44" s="185"/>
      <c r="F44" s="185"/>
      <c r="G44" s="204"/>
      <c r="H44" s="323" t="str">
        <f t="shared" si="3"/>
        <v/>
      </c>
      <c r="I44" s="323"/>
      <c r="J44" s="323"/>
      <c r="K44" s="2"/>
      <c r="L44" s="203"/>
      <c r="M44" s="189" t="str">
        <f t="shared" ca="1" si="4"/>
        <v/>
      </c>
      <c r="N44" s="190" t="str">
        <f t="shared" ca="1" si="5"/>
        <v/>
      </c>
      <c r="O44" s="191">
        <f t="shared" si="6"/>
        <v>1</v>
      </c>
      <c r="P44" s="191">
        <f t="shared" ca="1" si="7"/>
        <v>0</v>
      </c>
      <c r="T44" s="12"/>
      <c r="U44" s="12"/>
    </row>
    <row r="45" spans="1:24" ht="12.75" customHeight="1" x14ac:dyDescent="0.25">
      <c r="A45" s="181">
        <f t="shared" si="2"/>
        <v>0</v>
      </c>
      <c r="B45" s="198">
        <v>5</v>
      </c>
      <c r="C45" s="199">
        <v>8</v>
      </c>
      <c r="D45" s="200" t="str">
        <f t="shared" si="8"/>
        <v/>
      </c>
      <c r="E45" s="201"/>
      <c r="F45" s="201"/>
      <c r="G45" s="205"/>
      <c r="H45" s="324" t="str">
        <f t="shared" si="3"/>
        <v/>
      </c>
      <c r="I45" s="324"/>
      <c r="J45" s="324"/>
      <c r="K45" s="2"/>
      <c r="L45" s="203"/>
      <c r="M45" s="189" t="str">
        <f t="shared" ca="1" si="4"/>
        <v/>
      </c>
      <c r="N45" s="190" t="str">
        <f t="shared" ca="1" si="5"/>
        <v/>
      </c>
      <c r="O45" s="191">
        <f t="shared" si="6"/>
        <v>1</v>
      </c>
      <c r="P45" s="191">
        <f t="shared" ca="1" si="7"/>
        <v>0</v>
      </c>
      <c r="T45" s="12"/>
      <c r="U45" s="12"/>
    </row>
    <row r="46" spans="1:24" ht="12.75" customHeight="1" x14ac:dyDescent="0.25">
      <c r="A46" s="181">
        <f t="shared" si="2"/>
        <v>0</v>
      </c>
      <c r="B46" s="195">
        <v>6</v>
      </c>
      <c r="C46" s="196">
        <v>7</v>
      </c>
      <c r="D46" s="184" t="str">
        <f t="shared" si="8"/>
        <v/>
      </c>
      <c r="E46" s="185"/>
      <c r="F46" s="185"/>
      <c r="G46" s="204"/>
      <c r="H46" s="323" t="str">
        <f t="shared" si="3"/>
        <v/>
      </c>
      <c r="I46" s="323"/>
      <c r="J46" s="323"/>
      <c r="K46" s="2"/>
      <c r="L46" s="203"/>
      <c r="M46" s="189" t="str">
        <f t="shared" ca="1" si="4"/>
        <v/>
      </c>
      <c r="N46" s="190" t="str">
        <f t="shared" ca="1" si="5"/>
        <v/>
      </c>
      <c r="O46" s="191">
        <f t="shared" si="6"/>
        <v>1</v>
      </c>
      <c r="P46" s="191">
        <f t="shared" ca="1" si="7"/>
        <v>0</v>
      </c>
      <c r="T46" s="12"/>
      <c r="U46" s="12"/>
    </row>
    <row r="47" spans="1:24" ht="12.75" customHeight="1" x14ac:dyDescent="0.25">
      <c r="A47" s="181">
        <f t="shared" si="2"/>
        <v>0</v>
      </c>
      <c r="B47" s="198">
        <v>6</v>
      </c>
      <c r="C47" s="199">
        <v>8</v>
      </c>
      <c r="D47" s="200" t="str">
        <f t="shared" si="8"/>
        <v/>
      </c>
      <c r="E47" s="201"/>
      <c r="F47" s="201"/>
      <c r="G47" s="205"/>
      <c r="H47" s="326" t="str">
        <f t="shared" si="3"/>
        <v/>
      </c>
      <c r="I47" s="326"/>
      <c r="J47" s="326"/>
      <c r="K47" s="2"/>
      <c r="L47" s="203"/>
      <c r="M47" s="189" t="str">
        <f t="shared" ca="1" si="4"/>
        <v/>
      </c>
      <c r="N47" s="190" t="str">
        <f t="shared" ca="1" si="5"/>
        <v/>
      </c>
      <c r="O47" s="191">
        <f t="shared" si="6"/>
        <v>1</v>
      </c>
      <c r="P47" s="191">
        <f t="shared" ca="1" si="7"/>
        <v>0</v>
      </c>
      <c r="T47" s="12"/>
      <c r="U47" s="12"/>
    </row>
    <row r="48" spans="1:24" ht="12.75" customHeight="1" x14ac:dyDescent="0.25">
      <c r="A48" s="181">
        <f t="shared" si="2"/>
        <v>0</v>
      </c>
      <c r="B48" s="198">
        <v>7</v>
      </c>
      <c r="C48" s="199">
        <v>8</v>
      </c>
      <c r="D48" s="200" t="str">
        <f t="shared" si="8"/>
        <v/>
      </c>
      <c r="E48" s="201"/>
      <c r="F48" s="201"/>
      <c r="G48" s="205"/>
      <c r="H48" s="324" t="str">
        <f t="shared" si="3"/>
        <v/>
      </c>
      <c r="I48" s="324"/>
      <c r="J48" s="324"/>
      <c r="K48" s="2"/>
      <c r="L48" s="203"/>
      <c r="M48" s="189" t="str">
        <f t="shared" ca="1" si="4"/>
        <v/>
      </c>
      <c r="N48" s="190" t="str">
        <f t="shared" ca="1" si="5"/>
        <v/>
      </c>
      <c r="O48" s="191">
        <f t="shared" si="6"/>
        <v>1</v>
      </c>
      <c r="P48" s="191">
        <f t="shared" ca="1" si="7"/>
        <v>0</v>
      </c>
      <c r="T48" s="12"/>
      <c r="U48" s="12"/>
    </row>
    <row r="49" spans="1:21" ht="12.75" hidden="1" customHeight="1" outlineLevel="1" x14ac:dyDescent="0.25">
      <c r="A49" s="181">
        <f t="shared" si="2"/>
        <v>0</v>
      </c>
      <c r="B49" s="195">
        <v>1</v>
      </c>
      <c r="C49" s="196">
        <v>9</v>
      </c>
      <c r="D49" s="184" t="str">
        <f t="shared" si="8"/>
        <v/>
      </c>
      <c r="E49" s="185"/>
      <c r="F49" s="185"/>
      <c r="G49" s="204"/>
      <c r="H49" s="323" t="str">
        <f t="shared" si="3"/>
        <v/>
      </c>
      <c r="I49" s="323"/>
      <c r="J49" s="323"/>
      <c r="K49" s="245"/>
      <c r="L49" s="203"/>
      <c r="M49" s="189" t="str">
        <f t="shared" ca="1" si="4"/>
        <v/>
      </c>
      <c r="N49" s="190" t="str">
        <f t="shared" ca="1" si="5"/>
        <v/>
      </c>
      <c r="O49" s="191">
        <f t="shared" si="6"/>
        <v>1</v>
      </c>
      <c r="P49" s="191">
        <f t="shared" ca="1" si="7"/>
        <v>0</v>
      </c>
      <c r="T49" s="12"/>
      <c r="U49" s="12"/>
    </row>
    <row r="50" spans="1:21" s="192" customFormat="1" ht="12.75" hidden="1" customHeight="1" outlineLevel="1" x14ac:dyDescent="0.25">
      <c r="A50" s="181">
        <f t="shared" si="2"/>
        <v>0</v>
      </c>
      <c r="B50" s="198">
        <v>1</v>
      </c>
      <c r="C50" s="199">
        <v>10</v>
      </c>
      <c r="D50" s="200" t="str">
        <f t="shared" si="8"/>
        <v/>
      </c>
      <c r="E50" s="201"/>
      <c r="F50" s="201"/>
      <c r="G50" s="205"/>
      <c r="H50" s="324" t="str">
        <f t="shared" si="3"/>
        <v/>
      </c>
      <c r="I50" s="324"/>
      <c r="J50" s="324"/>
      <c r="K50" s="245"/>
      <c r="L50" s="203"/>
      <c r="M50" s="189" t="str">
        <f t="shared" ca="1" si="4"/>
        <v/>
      </c>
      <c r="N50" s="190" t="str">
        <f t="shared" ca="1" si="5"/>
        <v/>
      </c>
      <c r="O50" s="191">
        <f t="shared" si="6"/>
        <v>1</v>
      </c>
      <c r="P50" s="191">
        <f t="shared" ca="1" si="7"/>
        <v>0</v>
      </c>
      <c r="T50" s="12"/>
      <c r="U50" s="12"/>
    </row>
    <row r="51" spans="1:21" ht="12.75" hidden="1" customHeight="1" outlineLevel="1" x14ac:dyDescent="0.25">
      <c r="A51" s="181">
        <f t="shared" si="2"/>
        <v>0</v>
      </c>
      <c r="B51" s="195">
        <v>2</v>
      </c>
      <c r="C51" s="196">
        <v>9</v>
      </c>
      <c r="D51" s="184" t="str">
        <f t="shared" si="8"/>
        <v/>
      </c>
      <c r="E51" s="185"/>
      <c r="F51" s="185"/>
      <c r="G51" s="204"/>
      <c r="H51" s="323" t="str">
        <f t="shared" si="3"/>
        <v/>
      </c>
      <c r="I51" s="323"/>
      <c r="J51" s="323"/>
      <c r="K51" s="245"/>
      <c r="L51" s="203"/>
      <c r="M51" s="189" t="str">
        <f t="shared" ca="1" si="4"/>
        <v/>
      </c>
      <c r="N51" s="190" t="str">
        <f t="shared" ca="1" si="5"/>
        <v/>
      </c>
      <c r="O51" s="191">
        <f t="shared" si="6"/>
        <v>1</v>
      </c>
      <c r="P51" s="191">
        <f t="shared" ca="1" si="7"/>
        <v>0</v>
      </c>
      <c r="T51" s="12"/>
      <c r="U51" s="12"/>
    </row>
    <row r="52" spans="1:21" ht="12.75" hidden="1" customHeight="1" outlineLevel="1" x14ac:dyDescent="0.25">
      <c r="A52" s="181">
        <f t="shared" si="2"/>
        <v>0</v>
      </c>
      <c r="B52" s="198">
        <v>2</v>
      </c>
      <c r="C52" s="199">
        <v>10</v>
      </c>
      <c r="D52" s="200" t="str">
        <f t="shared" si="8"/>
        <v/>
      </c>
      <c r="E52" s="201"/>
      <c r="F52" s="201"/>
      <c r="G52" s="205"/>
      <c r="H52" s="324" t="str">
        <f t="shared" si="3"/>
        <v/>
      </c>
      <c r="I52" s="324"/>
      <c r="J52" s="324"/>
      <c r="K52" s="245"/>
      <c r="L52" s="203"/>
      <c r="M52" s="189" t="str">
        <f t="shared" ca="1" si="4"/>
        <v/>
      </c>
      <c r="N52" s="190" t="str">
        <f t="shared" ca="1" si="5"/>
        <v/>
      </c>
      <c r="O52" s="191">
        <f t="shared" si="6"/>
        <v>1</v>
      </c>
      <c r="P52" s="191">
        <f t="shared" ca="1" si="7"/>
        <v>0</v>
      </c>
      <c r="T52" s="12"/>
      <c r="U52" s="12"/>
    </row>
    <row r="53" spans="1:21" ht="12.75" hidden="1" customHeight="1" outlineLevel="1" x14ac:dyDescent="0.25">
      <c r="A53" s="181">
        <f t="shared" si="2"/>
        <v>0</v>
      </c>
      <c r="B53" s="195">
        <v>3</v>
      </c>
      <c r="C53" s="196">
        <v>9</v>
      </c>
      <c r="D53" s="184" t="str">
        <f t="shared" si="8"/>
        <v/>
      </c>
      <c r="E53" s="185"/>
      <c r="F53" s="185"/>
      <c r="G53" s="204"/>
      <c r="H53" s="323" t="str">
        <f t="shared" si="3"/>
        <v/>
      </c>
      <c r="I53" s="323"/>
      <c r="J53" s="323"/>
      <c r="K53" s="245"/>
      <c r="L53" s="203"/>
      <c r="M53" s="189" t="str">
        <f t="shared" ca="1" si="4"/>
        <v/>
      </c>
      <c r="N53" s="190" t="str">
        <f t="shared" ca="1" si="5"/>
        <v/>
      </c>
      <c r="O53" s="191">
        <f t="shared" si="6"/>
        <v>1</v>
      </c>
      <c r="P53" s="191">
        <f t="shared" ca="1" si="7"/>
        <v>0</v>
      </c>
      <c r="T53" s="12"/>
      <c r="U53" s="12"/>
    </row>
    <row r="54" spans="1:21" ht="12.75" hidden="1" customHeight="1" outlineLevel="1" x14ac:dyDescent="0.25">
      <c r="A54" s="181">
        <f t="shared" si="2"/>
        <v>0</v>
      </c>
      <c r="B54" s="198">
        <v>3</v>
      </c>
      <c r="C54" s="199">
        <v>10</v>
      </c>
      <c r="D54" s="200" t="str">
        <f t="shared" si="8"/>
        <v/>
      </c>
      <c r="E54" s="201"/>
      <c r="F54" s="201"/>
      <c r="G54" s="205"/>
      <c r="H54" s="324" t="str">
        <f t="shared" si="3"/>
        <v/>
      </c>
      <c r="I54" s="324"/>
      <c r="J54" s="324"/>
      <c r="K54" s="245"/>
      <c r="L54" s="203"/>
      <c r="M54" s="189" t="str">
        <f t="shared" ca="1" si="4"/>
        <v/>
      </c>
      <c r="N54" s="190" t="str">
        <f t="shared" ca="1" si="5"/>
        <v/>
      </c>
      <c r="O54" s="191">
        <f t="shared" si="6"/>
        <v>1</v>
      </c>
      <c r="P54" s="191">
        <f t="shared" ca="1" si="7"/>
        <v>0</v>
      </c>
      <c r="T54" s="12"/>
      <c r="U54" s="12"/>
    </row>
    <row r="55" spans="1:21" ht="12.75" hidden="1" customHeight="1" outlineLevel="1" x14ac:dyDescent="0.25">
      <c r="A55" s="181">
        <f t="shared" si="2"/>
        <v>0</v>
      </c>
      <c r="B55" s="195">
        <v>4</v>
      </c>
      <c r="C55" s="196">
        <v>9</v>
      </c>
      <c r="D55" s="184" t="str">
        <f t="shared" si="8"/>
        <v/>
      </c>
      <c r="E55" s="185"/>
      <c r="F55" s="185"/>
      <c r="G55" s="204"/>
      <c r="H55" s="323" t="str">
        <f t="shared" si="3"/>
        <v/>
      </c>
      <c r="I55" s="323"/>
      <c r="J55" s="323"/>
      <c r="K55" s="245"/>
      <c r="L55" s="203"/>
      <c r="M55" s="189" t="str">
        <f t="shared" ca="1" si="4"/>
        <v/>
      </c>
      <c r="N55" s="190" t="str">
        <f t="shared" ca="1" si="5"/>
        <v/>
      </c>
      <c r="O55" s="191">
        <f t="shared" si="6"/>
        <v>1</v>
      </c>
      <c r="P55" s="191">
        <f t="shared" ca="1" si="7"/>
        <v>0</v>
      </c>
      <c r="T55" s="12"/>
      <c r="U55" s="12"/>
    </row>
    <row r="56" spans="1:21" ht="12.75" hidden="1" customHeight="1" outlineLevel="1" x14ac:dyDescent="0.25">
      <c r="A56" s="181">
        <f t="shared" si="2"/>
        <v>0</v>
      </c>
      <c r="B56" s="198">
        <v>4</v>
      </c>
      <c r="C56" s="199">
        <v>10</v>
      </c>
      <c r="D56" s="200" t="str">
        <f t="shared" si="8"/>
        <v/>
      </c>
      <c r="E56" s="201"/>
      <c r="F56" s="201"/>
      <c r="G56" s="205"/>
      <c r="H56" s="324" t="str">
        <f t="shared" si="3"/>
        <v/>
      </c>
      <c r="I56" s="324"/>
      <c r="J56" s="324"/>
      <c r="K56" s="245"/>
      <c r="L56" s="203"/>
      <c r="M56" s="189" t="str">
        <f t="shared" ca="1" si="4"/>
        <v/>
      </c>
      <c r="N56" s="190" t="str">
        <f t="shared" ca="1" si="5"/>
        <v/>
      </c>
      <c r="O56" s="191">
        <f t="shared" si="6"/>
        <v>1</v>
      </c>
      <c r="P56" s="191">
        <f t="shared" ca="1" si="7"/>
        <v>0</v>
      </c>
      <c r="T56" s="12"/>
      <c r="U56" s="12"/>
    </row>
    <row r="57" spans="1:21" ht="12.75" hidden="1" customHeight="1" outlineLevel="1" x14ac:dyDescent="0.25">
      <c r="A57" s="181">
        <f t="shared" si="2"/>
        <v>0</v>
      </c>
      <c r="B57" s="195">
        <v>5</v>
      </c>
      <c r="C57" s="196">
        <v>9</v>
      </c>
      <c r="D57" s="184" t="str">
        <f t="shared" si="8"/>
        <v/>
      </c>
      <c r="E57" s="185"/>
      <c r="F57" s="185"/>
      <c r="G57" s="204"/>
      <c r="H57" s="323" t="str">
        <f t="shared" si="3"/>
        <v/>
      </c>
      <c r="I57" s="323"/>
      <c r="J57" s="323"/>
      <c r="K57" s="245"/>
      <c r="L57" s="203"/>
      <c r="M57" s="189" t="str">
        <f t="shared" ca="1" si="4"/>
        <v/>
      </c>
      <c r="N57" s="190" t="str">
        <f t="shared" ca="1" si="5"/>
        <v/>
      </c>
      <c r="O57" s="191">
        <f t="shared" si="6"/>
        <v>1</v>
      </c>
      <c r="P57" s="191">
        <f t="shared" ca="1" si="7"/>
        <v>0</v>
      </c>
      <c r="T57" s="12"/>
      <c r="U57" s="12"/>
    </row>
    <row r="58" spans="1:21" hidden="1" outlineLevel="1" x14ac:dyDescent="0.25">
      <c r="A58" s="181">
        <f t="shared" si="2"/>
        <v>0</v>
      </c>
      <c r="B58" s="198">
        <v>5</v>
      </c>
      <c r="C58" s="199">
        <v>10</v>
      </c>
      <c r="D58" s="200" t="str">
        <f t="shared" si="8"/>
        <v/>
      </c>
      <c r="E58" s="201"/>
      <c r="F58" s="201"/>
      <c r="G58" s="205"/>
      <c r="H58" s="324" t="str">
        <f t="shared" si="3"/>
        <v/>
      </c>
      <c r="I58" s="324"/>
      <c r="J58" s="324"/>
      <c r="K58" s="245"/>
      <c r="L58" s="203"/>
      <c r="M58" s="189" t="str">
        <f t="shared" ca="1" si="4"/>
        <v/>
      </c>
      <c r="N58" s="190" t="str">
        <f t="shared" ca="1" si="5"/>
        <v/>
      </c>
      <c r="O58" s="191">
        <f t="shared" si="6"/>
        <v>1</v>
      </c>
      <c r="P58" s="191">
        <f t="shared" ca="1" si="7"/>
        <v>0</v>
      </c>
      <c r="T58" s="12"/>
      <c r="U58" s="12"/>
    </row>
    <row r="59" spans="1:21" hidden="1" outlineLevel="1" x14ac:dyDescent="0.25">
      <c r="A59" s="181">
        <f t="shared" si="2"/>
        <v>0</v>
      </c>
      <c r="B59" s="195">
        <v>6</v>
      </c>
      <c r="C59" s="196">
        <v>9</v>
      </c>
      <c r="D59" s="184" t="str">
        <f t="shared" si="8"/>
        <v/>
      </c>
      <c r="E59" s="185"/>
      <c r="F59" s="185"/>
      <c r="G59" s="204"/>
      <c r="H59" s="323" t="str">
        <f t="shared" si="3"/>
        <v/>
      </c>
      <c r="I59" s="323"/>
      <c r="J59" s="323"/>
      <c r="K59" s="245"/>
      <c r="L59" s="203"/>
      <c r="M59" s="189" t="str">
        <f t="shared" ca="1" si="4"/>
        <v/>
      </c>
      <c r="N59" s="190" t="str">
        <f t="shared" ca="1" si="5"/>
        <v/>
      </c>
      <c r="O59" s="191">
        <f t="shared" si="6"/>
        <v>1</v>
      </c>
      <c r="P59" s="191">
        <f t="shared" ca="1" si="7"/>
        <v>0</v>
      </c>
      <c r="T59" s="12"/>
      <c r="U59" s="12"/>
    </row>
    <row r="60" spans="1:21" hidden="1" outlineLevel="1" x14ac:dyDescent="0.25">
      <c r="A60" s="181">
        <f t="shared" si="2"/>
        <v>0</v>
      </c>
      <c r="B60" s="198">
        <v>6</v>
      </c>
      <c r="C60" s="199">
        <v>10</v>
      </c>
      <c r="D60" s="200" t="str">
        <f t="shared" si="8"/>
        <v/>
      </c>
      <c r="E60" s="201"/>
      <c r="F60" s="201"/>
      <c r="G60" s="205"/>
      <c r="H60" s="324" t="str">
        <f t="shared" si="3"/>
        <v/>
      </c>
      <c r="I60" s="324"/>
      <c r="J60" s="324"/>
      <c r="K60" s="245"/>
      <c r="L60" s="203"/>
      <c r="M60" s="189" t="str">
        <f t="shared" ca="1" si="4"/>
        <v/>
      </c>
      <c r="N60" s="190" t="str">
        <f t="shared" ca="1" si="5"/>
        <v/>
      </c>
      <c r="O60" s="191">
        <f t="shared" si="6"/>
        <v>1</v>
      </c>
      <c r="P60" s="191">
        <f t="shared" ca="1" si="7"/>
        <v>0</v>
      </c>
      <c r="T60" s="12"/>
      <c r="U60" s="12"/>
    </row>
    <row r="61" spans="1:21" hidden="1" outlineLevel="1" x14ac:dyDescent="0.25">
      <c r="A61" s="181">
        <f t="shared" si="2"/>
        <v>0</v>
      </c>
      <c r="B61" s="195">
        <v>7</v>
      </c>
      <c r="C61" s="196">
        <v>9</v>
      </c>
      <c r="D61" s="184" t="str">
        <f t="shared" si="8"/>
        <v/>
      </c>
      <c r="E61" s="185"/>
      <c r="F61" s="185"/>
      <c r="G61" s="204"/>
      <c r="H61" s="323" t="str">
        <f t="shared" si="3"/>
        <v/>
      </c>
      <c r="I61" s="323"/>
      <c r="J61" s="323"/>
      <c r="K61" s="245"/>
      <c r="L61" s="203"/>
      <c r="M61" s="189" t="str">
        <f t="shared" ca="1" si="4"/>
        <v/>
      </c>
      <c r="N61" s="190" t="str">
        <f t="shared" ca="1" si="5"/>
        <v/>
      </c>
      <c r="O61" s="191">
        <f t="shared" si="6"/>
        <v>1</v>
      </c>
      <c r="P61" s="191">
        <f t="shared" ca="1" si="7"/>
        <v>0</v>
      </c>
      <c r="T61" s="12"/>
      <c r="U61" s="12"/>
    </row>
    <row r="62" spans="1:21" hidden="1" outlineLevel="1" x14ac:dyDescent="0.25">
      <c r="A62" s="181">
        <f t="shared" si="2"/>
        <v>0</v>
      </c>
      <c r="B62" s="198">
        <v>7</v>
      </c>
      <c r="C62" s="199">
        <v>10</v>
      </c>
      <c r="D62" s="200" t="str">
        <f t="shared" si="8"/>
        <v/>
      </c>
      <c r="E62" s="201"/>
      <c r="F62" s="201"/>
      <c r="G62" s="205"/>
      <c r="H62" s="324" t="str">
        <f t="shared" si="3"/>
        <v/>
      </c>
      <c r="I62" s="324"/>
      <c r="J62" s="324"/>
      <c r="K62" s="245"/>
      <c r="L62" s="203"/>
      <c r="M62" s="189" t="str">
        <f t="shared" ca="1" si="4"/>
        <v/>
      </c>
      <c r="N62" s="190" t="str">
        <f t="shared" ca="1" si="5"/>
        <v/>
      </c>
      <c r="O62" s="191">
        <f t="shared" si="6"/>
        <v>1</v>
      </c>
      <c r="P62" s="191">
        <f t="shared" ca="1" si="7"/>
        <v>0</v>
      </c>
      <c r="T62" s="12"/>
      <c r="U62" s="12"/>
    </row>
    <row r="63" spans="1:21" hidden="1" outlineLevel="1" x14ac:dyDescent="0.25">
      <c r="A63" s="181">
        <f t="shared" si="2"/>
        <v>0</v>
      </c>
      <c r="B63" s="195">
        <v>8</v>
      </c>
      <c r="C63" s="196">
        <v>9</v>
      </c>
      <c r="D63" s="184" t="str">
        <f t="shared" si="8"/>
        <v/>
      </c>
      <c r="E63" s="185"/>
      <c r="F63" s="185"/>
      <c r="G63" s="204"/>
      <c r="H63" s="323" t="str">
        <f t="shared" si="3"/>
        <v/>
      </c>
      <c r="I63" s="323"/>
      <c r="J63" s="323"/>
      <c r="K63" s="245"/>
      <c r="L63" s="203"/>
      <c r="M63" s="189" t="str">
        <f t="shared" ca="1" si="4"/>
        <v/>
      </c>
      <c r="N63" s="190" t="str">
        <f t="shared" ca="1" si="5"/>
        <v/>
      </c>
      <c r="O63" s="191">
        <f t="shared" si="6"/>
        <v>1</v>
      </c>
      <c r="P63" s="191">
        <f t="shared" ca="1" si="7"/>
        <v>0</v>
      </c>
      <c r="T63" s="12"/>
      <c r="U63" s="12"/>
    </row>
    <row r="64" spans="1:21" hidden="1" outlineLevel="1" x14ac:dyDescent="0.25">
      <c r="A64" s="181">
        <f t="shared" si="2"/>
        <v>0</v>
      </c>
      <c r="B64" s="198">
        <v>8</v>
      </c>
      <c r="C64" s="199">
        <v>10</v>
      </c>
      <c r="D64" s="200" t="str">
        <f t="shared" si="8"/>
        <v/>
      </c>
      <c r="E64" s="201"/>
      <c r="F64" s="201"/>
      <c r="G64" s="205"/>
      <c r="H64" s="324" t="str">
        <f t="shared" si="3"/>
        <v/>
      </c>
      <c r="I64" s="324"/>
      <c r="J64" s="324"/>
      <c r="K64" s="245"/>
      <c r="L64" s="203"/>
      <c r="M64" s="189" t="str">
        <f t="shared" ca="1" si="4"/>
        <v/>
      </c>
      <c r="N64" s="190" t="str">
        <f t="shared" ca="1" si="5"/>
        <v/>
      </c>
      <c r="O64" s="191">
        <f t="shared" si="6"/>
        <v>1</v>
      </c>
      <c r="P64" s="191">
        <f t="shared" ca="1" si="7"/>
        <v>0</v>
      </c>
      <c r="T64" s="12"/>
      <c r="U64" s="12"/>
    </row>
    <row r="65" spans="1:26" hidden="1" outlineLevel="1" x14ac:dyDescent="0.25">
      <c r="A65" s="181">
        <f t="shared" si="2"/>
        <v>0</v>
      </c>
      <c r="B65" s="206">
        <v>9</v>
      </c>
      <c r="C65" s="207">
        <v>10</v>
      </c>
      <c r="D65" s="208" t="str">
        <f t="shared" si="8"/>
        <v/>
      </c>
      <c r="E65" s="209"/>
      <c r="F65" s="209"/>
      <c r="G65" s="210"/>
      <c r="H65" s="325" t="str">
        <f t="shared" si="3"/>
        <v/>
      </c>
      <c r="I65" s="325"/>
      <c r="J65" s="325"/>
      <c r="K65" s="246"/>
      <c r="L65" s="212"/>
      <c r="M65" s="189" t="str">
        <f t="shared" ca="1" si="4"/>
        <v/>
      </c>
      <c r="N65" s="190" t="str">
        <f t="shared" ca="1" si="5"/>
        <v/>
      </c>
      <c r="O65" s="191">
        <f t="shared" si="6"/>
        <v>1</v>
      </c>
      <c r="P65" s="191">
        <f t="shared" ca="1" si="7"/>
        <v>0</v>
      </c>
      <c r="T65" s="12"/>
      <c r="U65" s="12"/>
    </row>
    <row r="66" spans="1:26" x14ac:dyDescent="0.25">
      <c r="A66" s="189"/>
      <c r="B66" s="213"/>
      <c r="C66" s="213"/>
      <c r="D66" s="214"/>
      <c r="E66" s="214"/>
      <c r="F66" s="214"/>
      <c r="G66" s="184"/>
      <c r="H66" s="215"/>
      <c r="I66" s="6"/>
      <c r="J66" s="6"/>
      <c r="K66" s="216">
        <f>COUNT(K21:K65)</f>
        <v>0</v>
      </c>
      <c r="L66" s="216">
        <f>COUNT(L21:L65)</f>
        <v>0</v>
      </c>
      <c r="M66" s="217"/>
      <c r="N66" s="6"/>
      <c r="O66" s="6"/>
    </row>
    <row r="67" spans="1:26" ht="12.75" customHeight="1" outlineLevel="1" x14ac:dyDescent="0.25">
      <c r="A67" s="321" t="s">
        <v>81</v>
      </c>
      <c r="B67" s="321"/>
      <c r="C67" s="321"/>
      <c r="D67" s="322" t="s">
        <v>82</v>
      </c>
      <c r="E67" s="322"/>
      <c r="F67" s="322"/>
      <c r="G67" s="322" t="s">
        <v>83</v>
      </c>
      <c r="H67" s="322"/>
      <c r="I67" s="322"/>
      <c r="J67" s="322"/>
      <c r="K67" s="322"/>
      <c r="L67" s="322"/>
      <c r="M67" s="322"/>
      <c r="N67" s="322"/>
      <c r="O67" s="6"/>
    </row>
    <row r="68" spans="1:26" ht="25" customHeight="1" outlineLevel="1" x14ac:dyDescent="0.25">
      <c r="A68" s="318">
        <v>1</v>
      </c>
      <c r="B68" s="318"/>
      <c r="C68" s="318"/>
      <c r="D68" s="319" t="s">
        <v>84</v>
      </c>
      <c r="E68" s="319"/>
      <c r="F68" s="319"/>
      <c r="G68" s="320" t="s">
        <v>85</v>
      </c>
      <c r="H68" s="320"/>
      <c r="I68" s="320"/>
      <c r="J68" s="320"/>
      <c r="K68" s="320"/>
      <c r="L68" s="320"/>
      <c r="M68" s="320"/>
      <c r="N68" s="320"/>
      <c r="O68" s="6"/>
    </row>
    <row r="69" spans="1:26" ht="25" customHeight="1" outlineLevel="1" x14ac:dyDescent="0.25">
      <c r="A69" s="318">
        <v>3</v>
      </c>
      <c r="B69" s="318"/>
      <c r="C69" s="318"/>
      <c r="D69" s="319" t="s">
        <v>86</v>
      </c>
      <c r="E69" s="319"/>
      <c r="F69" s="319"/>
      <c r="G69" s="320" t="s">
        <v>87</v>
      </c>
      <c r="H69" s="320"/>
      <c r="I69" s="320"/>
      <c r="J69" s="320"/>
      <c r="K69" s="320"/>
      <c r="L69" s="320"/>
      <c r="M69" s="320"/>
      <c r="N69" s="320"/>
      <c r="O69" s="6"/>
    </row>
    <row r="70" spans="1:26" ht="25" customHeight="1" outlineLevel="1" x14ac:dyDescent="0.25">
      <c r="A70" s="318">
        <v>5</v>
      </c>
      <c r="B70" s="318"/>
      <c r="C70" s="318"/>
      <c r="D70" s="319" t="s">
        <v>88</v>
      </c>
      <c r="E70" s="319"/>
      <c r="F70" s="319"/>
      <c r="G70" s="320" t="s">
        <v>89</v>
      </c>
      <c r="H70" s="320"/>
      <c r="I70" s="320"/>
      <c r="J70" s="320"/>
      <c r="K70" s="320"/>
      <c r="L70" s="320"/>
      <c r="M70" s="320"/>
      <c r="N70" s="320"/>
      <c r="O70" s="6"/>
    </row>
    <row r="71" spans="1:26" ht="25" customHeight="1" outlineLevel="1" x14ac:dyDescent="0.25">
      <c r="A71" s="318">
        <v>7</v>
      </c>
      <c r="B71" s="318"/>
      <c r="C71" s="318"/>
      <c r="D71" s="319" t="s">
        <v>90</v>
      </c>
      <c r="E71" s="319"/>
      <c r="F71" s="319"/>
      <c r="G71" s="320" t="s">
        <v>91</v>
      </c>
      <c r="H71" s="320"/>
      <c r="I71" s="320"/>
      <c r="J71" s="320"/>
      <c r="K71" s="320"/>
      <c r="L71" s="320"/>
      <c r="M71" s="320"/>
      <c r="N71" s="320"/>
      <c r="O71" s="6"/>
    </row>
    <row r="72" spans="1:26" ht="25" customHeight="1" outlineLevel="1" x14ac:dyDescent="0.25">
      <c r="A72" s="318">
        <v>9</v>
      </c>
      <c r="B72" s="318"/>
      <c r="C72" s="318"/>
      <c r="D72" s="319" t="s">
        <v>92</v>
      </c>
      <c r="E72" s="319"/>
      <c r="F72" s="319"/>
      <c r="G72" s="320" t="s">
        <v>93</v>
      </c>
      <c r="H72" s="320"/>
      <c r="I72" s="320"/>
      <c r="J72" s="320"/>
      <c r="K72" s="320"/>
      <c r="L72" s="320"/>
      <c r="M72" s="320"/>
      <c r="N72" s="320"/>
      <c r="O72" s="6"/>
    </row>
    <row r="73" spans="1:26" ht="23.25" customHeight="1" outlineLevel="1" x14ac:dyDescent="0.25">
      <c r="A73" s="316" t="s">
        <v>94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6"/>
    </row>
    <row r="74" spans="1:26" x14ac:dyDescent="0.25">
      <c r="A74" s="189"/>
      <c r="B74" s="213"/>
      <c r="C74" s="213"/>
      <c r="D74" s="214"/>
      <c r="E74" s="214"/>
      <c r="F74" s="214"/>
      <c r="G74" s="184"/>
      <c r="H74" s="215"/>
      <c r="I74" s="6"/>
      <c r="J74" s="6"/>
      <c r="K74" s="217"/>
      <c r="L74" s="6"/>
      <c r="M74" s="217"/>
      <c r="N74" s="6"/>
      <c r="O74" s="6"/>
    </row>
    <row r="75" spans="1:26" ht="12.75" hidden="1" customHeight="1" outlineLevel="1" x14ac:dyDescent="0.3">
      <c r="A75" s="218" t="s">
        <v>95</v>
      </c>
      <c r="B75" s="108"/>
      <c r="C75" s="108"/>
      <c r="D75" s="219"/>
      <c r="E75" s="219"/>
      <c r="F75" s="107"/>
      <c r="G75" s="107"/>
      <c r="H75" s="107"/>
      <c r="I75" s="108"/>
      <c r="J75" s="108"/>
      <c r="K75" s="108"/>
      <c r="L75" s="108"/>
      <c r="M75" s="108"/>
      <c r="N75" s="109"/>
    </row>
    <row r="76" spans="1:26" ht="12.75" hidden="1" customHeight="1" outlineLevel="1" x14ac:dyDescent="0.25">
      <c r="A76" s="220"/>
      <c r="B76" s="221" t="s">
        <v>96</v>
      </c>
      <c r="C76" s="6"/>
      <c r="D76" s="222"/>
      <c r="E76" s="222"/>
      <c r="F76" s="222"/>
      <c r="G76" s="223" t="s">
        <v>97</v>
      </c>
      <c r="H76" s="224">
        <f>O1</f>
        <v>20</v>
      </c>
      <c r="I76" s="6"/>
      <c r="J76" s="6"/>
      <c r="K76" s="6"/>
      <c r="L76" s="6"/>
      <c r="M76" s="6"/>
      <c r="N76" s="113"/>
    </row>
    <row r="77" spans="1:26" ht="39.75" hidden="1" customHeight="1" outlineLevel="1" x14ac:dyDescent="0.3">
      <c r="A77" s="121"/>
      <c r="B77" s="6"/>
      <c r="C77" s="225" t="str">
        <f t="array" ref="C77:L77">TRANSPOSE(B6:B15)</f>
        <v>Conventional Cashier</v>
      </c>
      <c r="D77" s="225" t="str">
        <v>Self-Checkout</v>
      </c>
      <c r="E77" s="225" t="str">
        <v>Unmanned Shop</v>
      </c>
      <c r="F77" s="225" t="str">
        <v/>
      </c>
      <c r="G77" s="225" t="str">
        <v/>
      </c>
      <c r="H77" s="225" t="str">
        <v/>
      </c>
      <c r="I77" s="81" t="str">
        <v/>
      </c>
      <c r="J77" s="118" t="str">
        <v/>
      </c>
      <c r="K77" s="118" t="str">
        <v/>
      </c>
      <c r="L77" s="118" t="str">
        <v/>
      </c>
      <c r="M77" s="6"/>
      <c r="N77" s="226"/>
      <c r="Q77" s="317"/>
      <c r="R77" s="317"/>
      <c r="S77" s="317"/>
    </row>
    <row r="78" spans="1:26" ht="12.75" hidden="1" customHeight="1" outlineLevel="1" x14ac:dyDescent="0.25">
      <c r="A78" s="121"/>
      <c r="B78" s="6"/>
      <c r="C78" s="30">
        <v>1</v>
      </c>
      <c r="D78" s="30">
        <v>2</v>
      </c>
      <c r="E78" s="30">
        <v>3</v>
      </c>
      <c r="F78" s="30">
        <v>4</v>
      </c>
      <c r="G78" s="30">
        <v>5</v>
      </c>
      <c r="H78" s="30">
        <v>6</v>
      </c>
      <c r="I78" s="30">
        <v>7</v>
      </c>
      <c r="J78" s="30">
        <v>8</v>
      </c>
      <c r="K78" s="30">
        <v>9</v>
      </c>
      <c r="L78" s="30">
        <v>10</v>
      </c>
      <c r="M78" s="6"/>
      <c r="N78" s="113"/>
      <c r="P78" s="29" t="s">
        <v>98</v>
      </c>
      <c r="Q78" s="84">
        <v>1</v>
      </c>
      <c r="R78" s="84">
        <v>2</v>
      </c>
      <c r="S78" s="84">
        <v>3</v>
      </c>
      <c r="T78" s="84">
        <v>4</v>
      </c>
      <c r="U78" s="84">
        <v>5</v>
      </c>
      <c r="V78" s="84">
        <v>6</v>
      </c>
      <c r="W78" s="84">
        <v>7</v>
      </c>
      <c r="X78" s="84">
        <v>8</v>
      </c>
      <c r="Y78" s="84">
        <v>9</v>
      </c>
      <c r="Z78" s="84">
        <v>10</v>
      </c>
    </row>
    <row r="79" spans="1:26" ht="12.75" hidden="1" customHeight="1" outlineLevel="1" x14ac:dyDescent="0.25">
      <c r="A79" s="227"/>
      <c r="B79" s="30">
        <v>1</v>
      </c>
      <c r="C79" s="247">
        <v>1</v>
      </c>
      <c r="D79" s="248">
        <f t="shared" ref="D79:L79" si="9">IF(ISNA(VLOOKUP(($B79*10+D$78),$A$21:$O$65,15,0)),0,VLOOKUP(($B79*10+D$78),$A$21:$O$65,15,0))</f>
        <v>1</v>
      </c>
      <c r="E79" s="248">
        <f t="shared" si="9"/>
        <v>1</v>
      </c>
      <c r="F79" s="248">
        <f t="shared" si="9"/>
        <v>0</v>
      </c>
      <c r="G79" s="248">
        <f t="shared" si="9"/>
        <v>0</v>
      </c>
      <c r="H79" s="248">
        <f t="shared" si="9"/>
        <v>0</v>
      </c>
      <c r="I79" s="248">
        <f t="shared" si="9"/>
        <v>0</v>
      </c>
      <c r="J79" s="248">
        <f t="shared" si="9"/>
        <v>0</v>
      </c>
      <c r="K79" s="248">
        <f t="shared" si="9"/>
        <v>0</v>
      </c>
      <c r="L79" s="248">
        <f t="shared" si="9"/>
        <v>0</v>
      </c>
      <c r="M79" s="6"/>
      <c r="N79" s="113"/>
      <c r="P79" s="229">
        <f t="shared" ref="P79:P89" si="10">SQRT( SUM(Q79:Z79)/($K$1-1) )</f>
        <v>0</v>
      </c>
      <c r="Q79" s="228">
        <f t="shared" ref="Q79:Z89" si="11">IF(OR($B79&gt;$K$1,Q$78&gt;$K$1),0,LN(INDEX($C$79:$L$88,$B79,Q$78)*INDEX($N$91:$N$100,Q$78)/INDEX($N$91:$N$100,$B79))^2)</f>
        <v>0</v>
      </c>
      <c r="R79" s="229">
        <f t="shared" si="11"/>
        <v>0</v>
      </c>
      <c r="S79" s="229">
        <f t="shared" si="11"/>
        <v>0</v>
      </c>
      <c r="T79" s="229">
        <f t="shared" si="11"/>
        <v>0</v>
      </c>
      <c r="U79" s="229">
        <f t="shared" si="11"/>
        <v>0</v>
      </c>
      <c r="V79" s="229">
        <f t="shared" si="11"/>
        <v>0</v>
      </c>
      <c r="W79" s="229">
        <f t="shared" si="11"/>
        <v>0</v>
      </c>
      <c r="X79" s="229">
        <f t="shared" si="11"/>
        <v>0</v>
      </c>
      <c r="Y79" s="229">
        <f t="shared" si="11"/>
        <v>0</v>
      </c>
      <c r="Z79" s="229">
        <f t="shared" si="11"/>
        <v>0</v>
      </c>
    </row>
    <row r="80" spans="1:26" ht="12.75" hidden="1" customHeight="1" outlineLevel="1" x14ac:dyDescent="0.25">
      <c r="A80" s="227"/>
      <c r="B80" s="30">
        <v>2</v>
      </c>
      <c r="C80" s="248">
        <f t="shared" ref="C80:C88" si="12">IF(ISNA(VLOOKUP((10*C$78+$B80),$A$21:$O$65,15,0)),0,1/VLOOKUP((10*C$78+$B80),$A$21:$O$65,15,0))</f>
        <v>1</v>
      </c>
      <c r="D80" s="247">
        <v>1</v>
      </c>
      <c r="E80" s="248">
        <f t="shared" ref="E80:L80" si="13">IF(ISNA(VLOOKUP(($B80*10+E$78),$A$21:$O$65,15,0)),0,VLOOKUP(($B80*10+E$78),$A$21:$O$65,15,0))</f>
        <v>1</v>
      </c>
      <c r="F80" s="248">
        <f t="shared" si="13"/>
        <v>0</v>
      </c>
      <c r="G80" s="248">
        <f t="shared" si="13"/>
        <v>0</v>
      </c>
      <c r="H80" s="248">
        <f t="shared" si="13"/>
        <v>0</v>
      </c>
      <c r="I80" s="248">
        <f t="shared" si="13"/>
        <v>0</v>
      </c>
      <c r="J80" s="248">
        <f t="shared" si="13"/>
        <v>0</v>
      </c>
      <c r="K80" s="248">
        <f t="shared" si="13"/>
        <v>0</v>
      </c>
      <c r="L80" s="248">
        <f t="shared" si="13"/>
        <v>0</v>
      </c>
      <c r="M80" s="6"/>
      <c r="N80" s="113"/>
      <c r="P80" s="229">
        <f t="shared" si="10"/>
        <v>0</v>
      </c>
      <c r="Q80" s="229">
        <f t="shared" si="11"/>
        <v>0</v>
      </c>
      <c r="R80" s="228">
        <f t="shared" si="11"/>
        <v>0</v>
      </c>
      <c r="S80" s="229">
        <f t="shared" si="11"/>
        <v>0</v>
      </c>
      <c r="T80" s="229">
        <f t="shared" si="11"/>
        <v>0</v>
      </c>
      <c r="U80" s="229">
        <f t="shared" si="11"/>
        <v>0</v>
      </c>
      <c r="V80" s="229">
        <f t="shared" si="11"/>
        <v>0</v>
      </c>
      <c r="W80" s="229">
        <f t="shared" si="11"/>
        <v>0</v>
      </c>
      <c r="X80" s="229">
        <f t="shared" si="11"/>
        <v>0</v>
      </c>
      <c r="Y80" s="229">
        <f t="shared" si="11"/>
        <v>0</v>
      </c>
      <c r="Z80" s="229">
        <f t="shared" si="11"/>
        <v>0</v>
      </c>
    </row>
    <row r="81" spans="1:26" ht="12.75" hidden="1" customHeight="1" outlineLevel="1" x14ac:dyDescent="0.25">
      <c r="A81" s="227"/>
      <c r="B81" s="30">
        <v>3</v>
      </c>
      <c r="C81" s="248">
        <f t="shared" si="12"/>
        <v>1</v>
      </c>
      <c r="D81" s="248">
        <f t="shared" ref="D81:D88" si="14">IF(ISNA(VLOOKUP((10*D$78+$B81),$A$21:$O$65,15,0)),0,1/VLOOKUP((10*D$78+$B81),$A$21:$O$65,15,0))</f>
        <v>1</v>
      </c>
      <c r="E81" s="247">
        <v>1</v>
      </c>
      <c r="F81" s="248">
        <f t="shared" ref="F81:L81" si="15">IF(ISNA(VLOOKUP(($B81*10+F$78),$A$21:$O$65,15,0)),0,VLOOKUP(($B81*10+F$78),$A$21:$O$65,15,0))</f>
        <v>0</v>
      </c>
      <c r="G81" s="248">
        <f t="shared" si="15"/>
        <v>0</v>
      </c>
      <c r="H81" s="248">
        <f t="shared" si="15"/>
        <v>0</v>
      </c>
      <c r="I81" s="248">
        <f t="shared" si="15"/>
        <v>0</v>
      </c>
      <c r="J81" s="248">
        <f t="shared" si="15"/>
        <v>0</v>
      </c>
      <c r="K81" s="248">
        <f t="shared" si="15"/>
        <v>0</v>
      </c>
      <c r="L81" s="248">
        <f t="shared" si="15"/>
        <v>0</v>
      </c>
      <c r="M81" s="6"/>
      <c r="N81" s="113"/>
      <c r="P81" s="229">
        <f t="shared" si="10"/>
        <v>0</v>
      </c>
      <c r="Q81" s="229">
        <f t="shared" si="11"/>
        <v>0</v>
      </c>
      <c r="R81" s="229">
        <f t="shared" si="11"/>
        <v>0</v>
      </c>
      <c r="S81" s="228">
        <f t="shared" si="11"/>
        <v>0</v>
      </c>
      <c r="T81" s="229">
        <f t="shared" si="11"/>
        <v>0</v>
      </c>
      <c r="U81" s="229">
        <f t="shared" si="11"/>
        <v>0</v>
      </c>
      <c r="V81" s="229">
        <f t="shared" si="11"/>
        <v>0</v>
      </c>
      <c r="W81" s="229">
        <f t="shared" si="11"/>
        <v>0</v>
      </c>
      <c r="X81" s="229">
        <f t="shared" si="11"/>
        <v>0</v>
      </c>
      <c r="Y81" s="229">
        <f t="shared" si="11"/>
        <v>0</v>
      </c>
      <c r="Z81" s="229">
        <f t="shared" si="11"/>
        <v>0</v>
      </c>
    </row>
    <row r="82" spans="1:26" ht="12.75" hidden="1" customHeight="1" outlineLevel="1" x14ac:dyDescent="0.25">
      <c r="A82" s="230"/>
      <c r="B82" s="30">
        <v>4</v>
      </c>
      <c r="C82" s="248">
        <f t="shared" si="12"/>
        <v>0</v>
      </c>
      <c r="D82" s="248">
        <f t="shared" si="14"/>
        <v>0</v>
      </c>
      <c r="E82" s="248">
        <f t="shared" ref="E82:E88" si="16">IF(ISNA(VLOOKUP((10*E$78+$B82),$A$21:$O$65,15,0)),0,1/VLOOKUP((10*E$78+$B82),$A$21:$O$65,15,0))</f>
        <v>0</v>
      </c>
      <c r="F82" s="247">
        <v>1</v>
      </c>
      <c r="G82" s="248">
        <f t="shared" ref="G82:L82" si="17">IF(ISNA(VLOOKUP(($B82*10+G$78),$A$21:$O$65,15,0)),0,VLOOKUP(($B82*10+G$78),$A$21:$O$65,15,0))</f>
        <v>0</v>
      </c>
      <c r="H82" s="248">
        <f t="shared" si="17"/>
        <v>0</v>
      </c>
      <c r="I82" s="248">
        <f t="shared" si="17"/>
        <v>0</v>
      </c>
      <c r="J82" s="248">
        <f t="shared" si="17"/>
        <v>0</v>
      </c>
      <c r="K82" s="248">
        <f t="shared" si="17"/>
        <v>0</v>
      </c>
      <c r="L82" s="248">
        <f t="shared" si="17"/>
        <v>0</v>
      </c>
      <c r="M82" s="6"/>
      <c r="N82" s="113"/>
      <c r="P82" s="229">
        <f t="shared" si="10"/>
        <v>0</v>
      </c>
      <c r="Q82" s="229">
        <f t="shared" si="11"/>
        <v>0</v>
      </c>
      <c r="R82" s="229">
        <f t="shared" si="11"/>
        <v>0</v>
      </c>
      <c r="S82" s="229">
        <f t="shared" si="11"/>
        <v>0</v>
      </c>
      <c r="T82" s="228">
        <f t="shared" si="11"/>
        <v>0</v>
      </c>
      <c r="U82" s="229">
        <f t="shared" si="11"/>
        <v>0</v>
      </c>
      <c r="V82" s="229">
        <f t="shared" si="11"/>
        <v>0</v>
      </c>
      <c r="W82" s="229">
        <f t="shared" si="11"/>
        <v>0</v>
      </c>
      <c r="X82" s="229">
        <f t="shared" si="11"/>
        <v>0</v>
      </c>
      <c r="Y82" s="229">
        <f t="shared" si="11"/>
        <v>0</v>
      </c>
      <c r="Z82" s="229">
        <f t="shared" si="11"/>
        <v>0</v>
      </c>
    </row>
    <row r="83" spans="1:26" ht="12.75" hidden="1" customHeight="1" outlineLevel="1" x14ac:dyDescent="0.25">
      <c r="A83" s="230"/>
      <c r="B83" s="30">
        <v>5</v>
      </c>
      <c r="C83" s="248">
        <f t="shared" si="12"/>
        <v>0</v>
      </c>
      <c r="D83" s="248">
        <f t="shared" si="14"/>
        <v>0</v>
      </c>
      <c r="E83" s="248">
        <f t="shared" si="16"/>
        <v>0</v>
      </c>
      <c r="F83" s="248">
        <f t="shared" ref="F83:F88" si="18">IF(ISNA(VLOOKUP((10*F$78+$B83),$A$21:$O$65,15,0)),0,1/VLOOKUP((10*F$78+$B83),$A$21:$O$65,15,0))</f>
        <v>0</v>
      </c>
      <c r="G83" s="247">
        <v>1</v>
      </c>
      <c r="H83" s="248">
        <f>IF(ISNA(VLOOKUP(($B83*10+H$78),$A$21:$O$65,15,0)),0,VLOOKUP(($B83*10+H$78),$A$21:$O$65,15,0))</f>
        <v>0</v>
      </c>
      <c r="I83" s="248">
        <f>IF(ISNA(VLOOKUP(($B83*10+I$78),$A$21:$O$65,15,0)),0,VLOOKUP(($B83*10+I$78),$A$21:$O$65,15,0))</f>
        <v>0</v>
      </c>
      <c r="J83" s="248">
        <f>IF(ISNA(VLOOKUP(($B83*10+J$78),$A$21:$O$65,15,0)),0,VLOOKUP(($B83*10+J$78),$A$21:$O$65,15,0))</f>
        <v>0</v>
      </c>
      <c r="K83" s="248">
        <f>IF(ISNA(VLOOKUP(($B83*10+K$78),$A$21:$O$65,15,0)),0,VLOOKUP(($B83*10+K$78),$A$21:$O$65,15,0))</f>
        <v>0</v>
      </c>
      <c r="L83" s="248">
        <f>IF(ISNA(VLOOKUP(($B83*10+L$78),$A$21:$O$65,15,0)),0,VLOOKUP(($B83*10+L$78),$A$21:$O$65,15,0))</f>
        <v>0</v>
      </c>
      <c r="M83" s="6"/>
      <c r="N83" s="113"/>
      <c r="P83" s="229">
        <f t="shared" si="10"/>
        <v>0</v>
      </c>
      <c r="Q83" s="229">
        <f t="shared" si="11"/>
        <v>0</v>
      </c>
      <c r="R83" s="229">
        <f t="shared" si="11"/>
        <v>0</v>
      </c>
      <c r="S83" s="229">
        <f t="shared" si="11"/>
        <v>0</v>
      </c>
      <c r="T83" s="229">
        <f t="shared" si="11"/>
        <v>0</v>
      </c>
      <c r="U83" s="228">
        <f t="shared" si="11"/>
        <v>0</v>
      </c>
      <c r="V83" s="229">
        <f t="shared" si="11"/>
        <v>0</v>
      </c>
      <c r="W83" s="229">
        <f t="shared" si="11"/>
        <v>0</v>
      </c>
      <c r="X83" s="229">
        <f t="shared" si="11"/>
        <v>0</v>
      </c>
      <c r="Y83" s="229">
        <f t="shared" si="11"/>
        <v>0</v>
      </c>
      <c r="Z83" s="229">
        <f t="shared" si="11"/>
        <v>0</v>
      </c>
    </row>
    <row r="84" spans="1:26" ht="12.75" hidden="1" customHeight="1" outlineLevel="1" x14ac:dyDescent="0.25">
      <c r="A84" s="230"/>
      <c r="B84" s="30">
        <v>6</v>
      </c>
      <c r="C84" s="248">
        <f t="shared" si="12"/>
        <v>0</v>
      </c>
      <c r="D84" s="248">
        <f t="shared" si="14"/>
        <v>0</v>
      </c>
      <c r="E84" s="248">
        <f t="shared" si="16"/>
        <v>0</v>
      </c>
      <c r="F84" s="248">
        <f t="shared" si="18"/>
        <v>0</v>
      </c>
      <c r="G84" s="248">
        <f>IF(ISNA(VLOOKUP((10*G$78+$B84),$A$21:$O$65,15,0)),0,1/VLOOKUP((10*G$78+$B84),$A$21:$O$65,15,0))</f>
        <v>0</v>
      </c>
      <c r="H84" s="247">
        <v>1</v>
      </c>
      <c r="I84" s="248">
        <f>IF(ISNA(VLOOKUP(($B84*10+I$78),$A$21:$O$65,15,0)),0,VLOOKUP(($B84*10+I$78),$A$21:$O$65,15,0))</f>
        <v>0</v>
      </c>
      <c r="J84" s="248">
        <f>IF(ISNA(VLOOKUP(($B84*10+J$78),$A$21:$O$65,15,0)),0,VLOOKUP(($B84*10+J$78),$A$21:$O$65,15,0))</f>
        <v>0</v>
      </c>
      <c r="K84" s="248">
        <f>IF(ISNA(VLOOKUP(($B84*10+K$78),$A$21:$O$65,15,0)),0,VLOOKUP(($B84*10+K$78),$A$21:$O$65,15,0))</f>
        <v>0</v>
      </c>
      <c r="L84" s="248">
        <f>IF(ISNA(VLOOKUP(($B84*10+L$78),$A$21:$O$65,15,0)),0,VLOOKUP(($B84*10+L$78),$A$21:$O$65,15,0))</f>
        <v>0</v>
      </c>
      <c r="M84" s="6"/>
      <c r="N84" s="113"/>
      <c r="P84" s="229">
        <f t="shared" si="10"/>
        <v>0</v>
      </c>
      <c r="Q84" s="229">
        <f t="shared" si="11"/>
        <v>0</v>
      </c>
      <c r="R84" s="229">
        <f t="shared" si="11"/>
        <v>0</v>
      </c>
      <c r="S84" s="229">
        <f t="shared" si="11"/>
        <v>0</v>
      </c>
      <c r="T84" s="229">
        <f t="shared" si="11"/>
        <v>0</v>
      </c>
      <c r="U84" s="229">
        <f t="shared" si="11"/>
        <v>0</v>
      </c>
      <c r="V84" s="228">
        <f t="shared" si="11"/>
        <v>0</v>
      </c>
      <c r="W84" s="229">
        <f t="shared" si="11"/>
        <v>0</v>
      </c>
      <c r="X84" s="229">
        <f t="shared" si="11"/>
        <v>0</v>
      </c>
      <c r="Y84" s="229">
        <f t="shared" si="11"/>
        <v>0</v>
      </c>
      <c r="Z84" s="229">
        <f t="shared" si="11"/>
        <v>0</v>
      </c>
    </row>
    <row r="85" spans="1:26" ht="12.75" hidden="1" customHeight="1" outlineLevel="1" x14ac:dyDescent="0.25">
      <c r="A85" s="230"/>
      <c r="B85" s="30">
        <v>7</v>
      </c>
      <c r="C85" s="248">
        <f t="shared" si="12"/>
        <v>0</v>
      </c>
      <c r="D85" s="248">
        <f t="shared" si="14"/>
        <v>0</v>
      </c>
      <c r="E85" s="248">
        <f t="shared" si="16"/>
        <v>0</v>
      </c>
      <c r="F85" s="248">
        <f t="shared" si="18"/>
        <v>0</v>
      </c>
      <c r="G85" s="248">
        <f>IF(ISNA(VLOOKUP((10*G$78+$B85),$A$21:$O$65,15,0)),0,1/VLOOKUP((10*G$78+$B85),$A$21:$O$65,15,0))</f>
        <v>0</v>
      </c>
      <c r="H85" s="248">
        <f>IF(ISNA(VLOOKUP((10*H$78+$B85),$A$21:$O$65,15,0)),0,1/VLOOKUP((10*H$78+$B85),$A$21:$O$65,15,0))</f>
        <v>0</v>
      </c>
      <c r="I85" s="247">
        <v>1</v>
      </c>
      <c r="J85" s="248">
        <f>IF(ISNA(VLOOKUP(($B85*10+J$78),$A$21:$O$65,15,0)),0,VLOOKUP(($B85*10+J$78),$A$21:$O$65,15,0))</f>
        <v>0</v>
      </c>
      <c r="K85" s="248">
        <f>IF(ISNA(VLOOKUP(($B85*10+K$78),$A$21:$O$65,15,0)),0,VLOOKUP(($B85*10+K$78),$A$21:$O$65,15,0))</f>
        <v>0</v>
      </c>
      <c r="L85" s="248">
        <f>IF(ISNA(VLOOKUP(($B85*10+L$78),$A$21:$O$65,15,0)),0,VLOOKUP(($B85*10+L$78),$A$21:$O$65,15,0))</f>
        <v>0</v>
      </c>
      <c r="M85" s="6"/>
      <c r="N85" s="113"/>
      <c r="O85" s="231"/>
      <c r="P85" s="229">
        <f t="shared" si="10"/>
        <v>0</v>
      </c>
      <c r="Q85" s="229">
        <f t="shared" si="11"/>
        <v>0</v>
      </c>
      <c r="R85" s="229">
        <f t="shared" si="11"/>
        <v>0</v>
      </c>
      <c r="S85" s="229">
        <f t="shared" si="11"/>
        <v>0</v>
      </c>
      <c r="T85" s="229">
        <f t="shared" si="11"/>
        <v>0</v>
      </c>
      <c r="U85" s="229">
        <f t="shared" si="11"/>
        <v>0</v>
      </c>
      <c r="V85" s="229">
        <f t="shared" si="11"/>
        <v>0</v>
      </c>
      <c r="W85" s="228">
        <f t="shared" si="11"/>
        <v>0</v>
      </c>
      <c r="X85" s="229">
        <f t="shared" si="11"/>
        <v>0</v>
      </c>
      <c r="Y85" s="229">
        <f t="shared" si="11"/>
        <v>0</v>
      </c>
      <c r="Z85" s="229">
        <f t="shared" si="11"/>
        <v>0</v>
      </c>
    </row>
    <row r="86" spans="1:26" ht="12.75" hidden="1" customHeight="1" outlineLevel="1" x14ac:dyDescent="0.25">
      <c r="A86" s="230"/>
      <c r="B86" s="30">
        <v>8</v>
      </c>
      <c r="C86" s="248">
        <f t="shared" si="12"/>
        <v>0</v>
      </c>
      <c r="D86" s="248">
        <f t="shared" si="14"/>
        <v>0</v>
      </c>
      <c r="E86" s="248">
        <f t="shared" si="16"/>
        <v>0</v>
      </c>
      <c r="F86" s="248">
        <f t="shared" si="18"/>
        <v>0</v>
      </c>
      <c r="G86" s="248">
        <f>IF(ISNA(VLOOKUP((10*G$78+$B86),$A$21:$O$65,15,0)),0,1/VLOOKUP((10*G$78+$B86),$A$21:$O$65,15,0))</f>
        <v>0</v>
      </c>
      <c r="H86" s="248">
        <f>IF(ISNA(VLOOKUP((10*H$78+$B86),$A$21:$O$65,15,0)),0,1/VLOOKUP((10*H$78+$B86),$A$21:$O$65,15,0))</f>
        <v>0</v>
      </c>
      <c r="I86" s="248">
        <f>IF(ISNA(VLOOKUP((10*I$78+$B86),$A$21:$O$65,15,0)),0,1/VLOOKUP((10*I$78+$B86),$A$21:$O$65,15,0))</f>
        <v>0</v>
      </c>
      <c r="J86" s="247">
        <v>1</v>
      </c>
      <c r="K86" s="248">
        <f>IF(ISNA(VLOOKUP(($B86*10+K$78),$A$21:$O$65,15,0)),0,VLOOKUP(($B86*10+K$78),$A$21:$O$65,15,0))</f>
        <v>0</v>
      </c>
      <c r="L86" s="248">
        <f>IF(ISNA(VLOOKUP(($B86*10+L$78),$A$21:$O$65,15,0)),0,VLOOKUP(($B86*10+L$78),$A$21:$O$65,15,0))</f>
        <v>0</v>
      </c>
      <c r="M86" s="6"/>
      <c r="N86" s="113"/>
      <c r="P86" s="229">
        <f t="shared" si="10"/>
        <v>0</v>
      </c>
      <c r="Q86" s="229">
        <f t="shared" si="11"/>
        <v>0</v>
      </c>
      <c r="R86" s="229">
        <f t="shared" si="11"/>
        <v>0</v>
      </c>
      <c r="S86" s="229">
        <f t="shared" si="11"/>
        <v>0</v>
      </c>
      <c r="T86" s="229">
        <f t="shared" si="11"/>
        <v>0</v>
      </c>
      <c r="U86" s="229">
        <f t="shared" si="11"/>
        <v>0</v>
      </c>
      <c r="V86" s="229">
        <f t="shared" si="11"/>
        <v>0</v>
      </c>
      <c r="W86" s="229">
        <f t="shared" si="11"/>
        <v>0</v>
      </c>
      <c r="X86" s="228">
        <f t="shared" si="11"/>
        <v>0</v>
      </c>
      <c r="Y86" s="229">
        <f t="shared" si="11"/>
        <v>0</v>
      </c>
      <c r="Z86" s="229">
        <f t="shared" si="11"/>
        <v>0</v>
      </c>
    </row>
    <row r="87" spans="1:26" ht="12.75" hidden="1" customHeight="1" outlineLevel="1" x14ac:dyDescent="0.25">
      <c r="A87" s="121"/>
      <c r="B87" s="30">
        <v>9</v>
      </c>
      <c r="C87" s="248">
        <f t="shared" si="12"/>
        <v>0</v>
      </c>
      <c r="D87" s="248">
        <f t="shared" si="14"/>
        <v>0</v>
      </c>
      <c r="E87" s="248">
        <f t="shared" si="16"/>
        <v>0</v>
      </c>
      <c r="F87" s="248">
        <f t="shared" si="18"/>
        <v>0</v>
      </c>
      <c r="G87" s="248">
        <f>IF(ISNA(VLOOKUP((10*G$78+$B87),$A$21:$O$65,15,0)),0,1/VLOOKUP((10*G$78+$B87),$A$21:$O$65,15,0))</f>
        <v>0</v>
      </c>
      <c r="H87" s="248">
        <f>IF(ISNA(VLOOKUP((10*H$78+$B87),$A$21:$O$65,15,0)),0,1/VLOOKUP((10*H$78+$B87),$A$21:$O$65,15,0))</f>
        <v>0</v>
      </c>
      <c r="I87" s="248">
        <f>IF(ISNA(VLOOKUP((10*I$78+$B87),$A$21:$O$65,15,0)),0,1/VLOOKUP((10*I$78+$B87),$A$21:$O$65,15,0))</f>
        <v>0</v>
      </c>
      <c r="J87" s="248">
        <f>IF(ISNA(VLOOKUP((10*J$78+$B87),$A$21:$O$65,15,0)),0,1/VLOOKUP((10*J$78+$B87),$A$21:$O$65,15,0))</f>
        <v>0</v>
      </c>
      <c r="K87" s="247">
        <v>1</v>
      </c>
      <c r="L87" s="248">
        <f>IF(ISNA(VLOOKUP(($B87*10+L$78),$A$21:$O$65,15,0)),0,VLOOKUP(($B87*10+L$78),$A$21:$O$65,15,0))</f>
        <v>0</v>
      </c>
      <c r="M87" s="6"/>
      <c r="N87" s="113"/>
      <c r="P87" s="229">
        <f t="shared" si="10"/>
        <v>0</v>
      </c>
      <c r="Q87" s="229">
        <f t="shared" si="11"/>
        <v>0</v>
      </c>
      <c r="R87" s="229">
        <f t="shared" si="11"/>
        <v>0</v>
      </c>
      <c r="S87" s="229">
        <f t="shared" si="11"/>
        <v>0</v>
      </c>
      <c r="T87" s="229">
        <f t="shared" si="11"/>
        <v>0</v>
      </c>
      <c r="U87" s="229">
        <f t="shared" si="11"/>
        <v>0</v>
      </c>
      <c r="V87" s="229">
        <f t="shared" si="11"/>
        <v>0</v>
      </c>
      <c r="W87" s="229">
        <f t="shared" si="11"/>
        <v>0</v>
      </c>
      <c r="X87" s="229">
        <f t="shared" si="11"/>
        <v>0</v>
      </c>
      <c r="Y87" s="228">
        <f t="shared" si="11"/>
        <v>0</v>
      </c>
      <c r="Z87" s="84">
        <f t="shared" si="11"/>
        <v>0</v>
      </c>
    </row>
    <row r="88" spans="1:26" hidden="1" outlineLevel="1" x14ac:dyDescent="0.25">
      <c r="A88" s="121"/>
      <c r="B88" s="30">
        <v>10</v>
      </c>
      <c r="C88" s="249">
        <f t="shared" si="12"/>
        <v>0</v>
      </c>
      <c r="D88" s="249">
        <f t="shared" si="14"/>
        <v>0</v>
      </c>
      <c r="E88" s="249">
        <f t="shared" si="16"/>
        <v>0</v>
      </c>
      <c r="F88" s="249">
        <f t="shared" si="18"/>
        <v>0</v>
      </c>
      <c r="G88" s="249">
        <f>IF(ISNA(VLOOKUP((10*G$78+$B88),$A$21:$O$65,15,0)),0,1/VLOOKUP((10*G$78+$B88),$A$21:$O$65,15,0))</f>
        <v>0</v>
      </c>
      <c r="H88" s="249">
        <f>IF(ISNA(VLOOKUP((10*H$78+$B88),$A$21:$O$65,15,0)),0,1/VLOOKUP((10*H$78+$B88),$A$21:$O$65,15,0))</f>
        <v>0</v>
      </c>
      <c r="I88" s="249">
        <f>IF(ISNA(VLOOKUP((10*I$78+$B88),$A$21:$O$65,15,0)),0,1/VLOOKUP((10*I$78+$B88),$A$21:$O$65,15,0))</f>
        <v>0</v>
      </c>
      <c r="J88" s="249">
        <f>IF(ISNA(VLOOKUP((10*J$78+$B88),$A$21:$O$65,15,0)),0,1/VLOOKUP((10*J$78+$B88),$A$21:$O$65,15,0))</f>
        <v>0</v>
      </c>
      <c r="K88" s="249">
        <f>IF(ISNA(VLOOKUP((10*K$78+$B88),$A$21:$O$65,15,0)),0,1/VLOOKUP((10*K$78+$B88),$A$21:$O$65,15,0))</f>
        <v>0</v>
      </c>
      <c r="L88" s="250">
        <v>1</v>
      </c>
      <c r="M88" s="6"/>
      <c r="N88" s="113"/>
      <c r="P88" s="229">
        <f t="shared" si="10"/>
        <v>0</v>
      </c>
      <c r="Q88" s="229">
        <f t="shared" si="11"/>
        <v>0</v>
      </c>
      <c r="R88" s="229">
        <f t="shared" si="11"/>
        <v>0</v>
      </c>
      <c r="S88" s="229">
        <f t="shared" si="11"/>
        <v>0</v>
      </c>
      <c r="T88" s="229">
        <f t="shared" si="11"/>
        <v>0</v>
      </c>
      <c r="U88" s="229">
        <f t="shared" si="11"/>
        <v>0</v>
      </c>
      <c r="V88" s="229">
        <f t="shared" si="11"/>
        <v>0</v>
      </c>
      <c r="W88" s="229">
        <f t="shared" si="11"/>
        <v>0</v>
      </c>
      <c r="X88" s="229">
        <f t="shared" si="11"/>
        <v>0</v>
      </c>
      <c r="Y88" s="229">
        <f t="shared" si="11"/>
        <v>0</v>
      </c>
      <c r="Z88" s="228">
        <f t="shared" si="11"/>
        <v>0</v>
      </c>
    </row>
    <row r="89" spans="1:26" hidden="1" outlineLevel="1" x14ac:dyDescent="0.25">
      <c r="A89" s="121"/>
      <c r="B89" s="27" t="s">
        <v>99</v>
      </c>
      <c r="C89" s="251">
        <f t="shared" ref="C89:L89" si="19">SUM(C79:C88)</f>
        <v>3</v>
      </c>
      <c r="D89" s="251">
        <f t="shared" si="19"/>
        <v>3</v>
      </c>
      <c r="E89" s="251">
        <f t="shared" si="19"/>
        <v>3</v>
      </c>
      <c r="F89" s="251">
        <f t="shared" si="19"/>
        <v>1</v>
      </c>
      <c r="G89" s="251">
        <f t="shared" si="19"/>
        <v>1</v>
      </c>
      <c r="H89" s="251">
        <f t="shared" si="19"/>
        <v>1</v>
      </c>
      <c r="I89" s="251">
        <f t="shared" si="19"/>
        <v>1</v>
      </c>
      <c r="J89" s="251">
        <f t="shared" si="19"/>
        <v>1</v>
      </c>
      <c r="K89" s="251">
        <f t="shared" si="19"/>
        <v>1</v>
      </c>
      <c r="L89" s="251">
        <f t="shared" si="19"/>
        <v>1</v>
      </c>
      <c r="M89" s="6"/>
      <c r="N89" s="113"/>
      <c r="P89" s="229">
        <f t="shared" si="10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29">
        <f t="shared" si="11"/>
        <v>0</v>
      </c>
      <c r="V89" s="229">
        <f t="shared" si="11"/>
        <v>0</v>
      </c>
      <c r="W89" s="229">
        <f t="shared" si="11"/>
        <v>0</v>
      </c>
      <c r="X89" s="229">
        <f t="shared" si="11"/>
        <v>0</v>
      </c>
      <c r="Y89" s="229">
        <f t="shared" si="11"/>
        <v>0</v>
      </c>
      <c r="Z89" s="229">
        <f t="shared" si="11"/>
        <v>0</v>
      </c>
    </row>
    <row r="90" spans="1:26" hidden="1" outlineLevel="1" x14ac:dyDescent="0.25">
      <c r="A90" s="121"/>
      <c r="B90" s="221" t="s">
        <v>100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232" t="s">
        <v>51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idden="1" outlineLevel="1" x14ac:dyDescent="0.25">
      <c r="A91" s="121"/>
      <c r="B91" s="30">
        <v>1</v>
      </c>
      <c r="C91" s="229">
        <f t="shared" ref="C91:L91" si="20">IF(C79&gt;0,LN(C79),0)</f>
        <v>0</v>
      </c>
      <c r="D91" s="229">
        <f t="shared" si="20"/>
        <v>0</v>
      </c>
      <c r="E91" s="229">
        <f t="shared" si="20"/>
        <v>0</v>
      </c>
      <c r="F91" s="229">
        <f t="shared" si="20"/>
        <v>0</v>
      </c>
      <c r="G91" s="229">
        <f t="shared" si="20"/>
        <v>0</v>
      </c>
      <c r="H91" s="229">
        <f t="shared" si="20"/>
        <v>0</v>
      </c>
      <c r="I91" s="229">
        <f t="shared" si="20"/>
        <v>0</v>
      </c>
      <c r="J91" s="229">
        <f t="shared" si="20"/>
        <v>0</v>
      </c>
      <c r="K91" s="229">
        <f t="shared" si="20"/>
        <v>0</v>
      </c>
      <c r="L91" s="229">
        <f t="shared" si="20"/>
        <v>0</v>
      </c>
      <c r="M91" s="229">
        <f t="shared" ref="M91:M100" si="21">EXP(SUM(C91:L91)/K$1)</f>
        <v>1</v>
      </c>
      <c r="N91" s="253">
        <f t="shared" ref="N91:N100" si="22">IF(B91&lt;=K$1,M91/M$101,0)</f>
        <v>0.33333333333333331</v>
      </c>
      <c r="O91" s="234">
        <f t="shared" ref="O91:O100" si="23">N91*COSH(P79)</f>
        <v>0.33333333333333331</v>
      </c>
      <c r="P91" s="234"/>
      <c r="Q91" s="6"/>
      <c r="R91" s="229"/>
      <c r="S91" s="6"/>
      <c r="T91" s="229"/>
      <c r="U91" s="6"/>
      <c r="V91" s="6"/>
      <c r="W91" s="6"/>
      <c r="X91" s="6"/>
      <c r="Y91" s="6"/>
      <c r="Z91" s="6"/>
    </row>
    <row r="92" spans="1:26" hidden="1" outlineLevel="1" x14ac:dyDescent="0.25">
      <c r="A92" s="121"/>
      <c r="B92" s="30">
        <v>2</v>
      </c>
      <c r="C92" s="229">
        <f t="shared" ref="C92:L92" si="24">IF(C80&gt;0,LN(C80),0)</f>
        <v>0</v>
      </c>
      <c r="D92" s="229">
        <f t="shared" si="24"/>
        <v>0</v>
      </c>
      <c r="E92" s="229">
        <f t="shared" si="24"/>
        <v>0</v>
      </c>
      <c r="F92" s="229">
        <f t="shared" si="24"/>
        <v>0</v>
      </c>
      <c r="G92" s="229">
        <f t="shared" si="24"/>
        <v>0</v>
      </c>
      <c r="H92" s="229">
        <f t="shared" si="24"/>
        <v>0</v>
      </c>
      <c r="I92" s="229">
        <f t="shared" si="24"/>
        <v>0</v>
      </c>
      <c r="J92" s="229">
        <f t="shared" si="24"/>
        <v>0</v>
      </c>
      <c r="K92" s="229">
        <f t="shared" si="24"/>
        <v>0</v>
      </c>
      <c r="L92" s="229">
        <f t="shared" si="24"/>
        <v>0</v>
      </c>
      <c r="M92" s="229">
        <f t="shared" si="21"/>
        <v>1</v>
      </c>
      <c r="N92" s="253">
        <f t="shared" si="22"/>
        <v>0.33333333333333331</v>
      </c>
      <c r="O92" s="234">
        <f t="shared" si="23"/>
        <v>0.33333333333333331</v>
      </c>
      <c r="P92" s="234"/>
      <c r="Q92" s="6"/>
      <c r="R92" s="229"/>
      <c r="S92" s="6"/>
      <c r="T92" s="229"/>
      <c r="U92" s="6"/>
      <c r="V92" s="6"/>
      <c r="W92" s="6"/>
      <c r="X92" s="6"/>
      <c r="Y92" s="6"/>
      <c r="Z92" s="6"/>
    </row>
    <row r="93" spans="1:26" ht="12.75" hidden="1" customHeight="1" outlineLevel="1" x14ac:dyDescent="0.25">
      <c r="A93" s="121"/>
      <c r="B93" s="30">
        <v>3</v>
      </c>
      <c r="C93" s="229">
        <f t="shared" ref="C93:L93" si="25">IF(C81&gt;0,LN(C81),0)</f>
        <v>0</v>
      </c>
      <c r="D93" s="229">
        <f t="shared" si="25"/>
        <v>0</v>
      </c>
      <c r="E93" s="229">
        <f t="shared" si="25"/>
        <v>0</v>
      </c>
      <c r="F93" s="229">
        <f t="shared" si="25"/>
        <v>0</v>
      </c>
      <c r="G93" s="229">
        <f t="shared" si="25"/>
        <v>0</v>
      </c>
      <c r="H93" s="229">
        <f t="shared" si="25"/>
        <v>0</v>
      </c>
      <c r="I93" s="229">
        <f t="shared" si="25"/>
        <v>0</v>
      </c>
      <c r="J93" s="229">
        <f t="shared" si="25"/>
        <v>0</v>
      </c>
      <c r="K93" s="229">
        <f t="shared" si="25"/>
        <v>0</v>
      </c>
      <c r="L93" s="229">
        <f t="shared" si="25"/>
        <v>0</v>
      </c>
      <c r="M93" s="229">
        <f t="shared" si="21"/>
        <v>1</v>
      </c>
      <c r="N93" s="253">
        <f t="shared" si="22"/>
        <v>0.33333333333333331</v>
      </c>
      <c r="O93" s="234">
        <f t="shared" si="23"/>
        <v>0.33333333333333331</v>
      </c>
      <c r="P93" s="234"/>
      <c r="Q93" s="6"/>
      <c r="R93" s="229"/>
      <c r="S93" s="6"/>
      <c r="T93" s="229"/>
      <c r="U93" s="6"/>
      <c r="V93" s="6"/>
      <c r="W93" s="6"/>
      <c r="X93" s="6"/>
      <c r="Y93" s="6"/>
      <c r="Z93" s="6"/>
    </row>
    <row r="94" spans="1:26" hidden="1" outlineLevel="1" x14ac:dyDescent="0.25">
      <c r="A94" s="121"/>
      <c r="B94" s="30">
        <v>4</v>
      </c>
      <c r="C94" s="229">
        <f t="shared" ref="C94:L94" si="26">IF(C82&gt;0,LN(C82),0)</f>
        <v>0</v>
      </c>
      <c r="D94" s="229">
        <f t="shared" si="26"/>
        <v>0</v>
      </c>
      <c r="E94" s="229">
        <f t="shared" si="26"/>
        <v>0</v>
      </c>
      <c r="F94" s="229">
        <f t="shared" si="26"/>
        <v>0</v>
      </c>
      <c r="G94" s="229">
        <f t="shared" si="26"/>
        <v>0</v>
      </c>
      <c r="H94" s="229">
        <f t="shared" si="26"/>
        <v>0</v>
      </c>
      <c r="I94" s="229">
        <f t="shared" si="26"/>
        <v>0</v>
      </c>
      <c r="J94" s="229">
        <f t="shared" si="26"/>
        <v>0</v>
      </c>
      <c r="K94" s="229">
        <f t="shared" si="26"/>
        <v>0</v>
      </c>
      <c r="L94" s="229">
        <f t="shared" si="26"/>
        <v>0</v>
      </c>
      <c r="M94" s="229">
        <f t="shared" si="21"/>
        <v>1</v>
      </c>
      <c r="N94" s="253">
        <f t="shared" si="22"/>
        <v>0</v>
      </c>
      <c r="O94" s="234">
        <f t="shared" si="23"/>
        <v>0</v>
      </c>
      <c r="P94" s="234"/>
      <c r="Q94" s="6"/>
      <c r="R94" s="229"/>
      <c r="S94" s="6"/>
      <c r="T94" s="229"/>
      <c r="U94" s="229"/>
      <c r="V94" s="6"/>
      <c r="W94" s="6"/>
      <c r="X94" s="6"/>
      <c r="Y94" s="6"/>
      <c r="Z94" s="6"/>
    </row>
    <row r="95" spans="1:26" hidden="1" outlineLevel="1" x14ac:dyDescent="0.25">
      <c r="A95" s="121"/>
      <c r="B95" s="30">
        <v>5</v>
      </c>
      <c r="C95" s="229">
        <f t="shared" ref="C95:L95" si="27">IF(C83&gt;0,LN(C83),0)</f>
        <v>0</v>
      </c>
      <c r="D95" s="229">
        <f t="shared" si="27"/>
        <v>0</v>
      </c>
      <c r="E95" s="229">
        <f t="shared" si="27"/>
        <v>0</v>
      </c>
      <c r="F95" s="229">
        <f t="shared" si="27"/>
        <v>0</v>
      </c>
      <c r="G95" s="229">
        <f t="shared" si="27"/>
        <v>0</v>
      </c>
      <c r="H95" s="229">
        <f t="shared" si="27"/>
        <v>0</v>
      </c>
      <c r="I95" s="229">
        <f t="shared" si="27"/>
        <v>0</v>
      </c>
      <c r="J95" s="229">
        <f t="shared" si="27"/>
        <v>0</v>
      </c>
      <c r="K95" s="229">
        <f t="shared" si="27"/>
        <v>0</v>
      </c>
      <c r="L95" s="229">
        <f t="shared" si="27"/>
        <v>0</v>
      </c>
      <c r="M95" s="229">
        <f t="shared" si="21"/>
        <v>1</v>
      </c>
      <c r="N95" s="253">
        <f t="shared" si="22"/>
        <v>0</v>
      </c>
      <c r="O95" s="234">
        <f t="shared" si="23"/>
        <v>0</v>
      </c>
      <c r="P95" s="234"/>
      <c r="Q95" s="6"/>
      <c r="R95" s="229"/>
      <c r="S95" s="6"/>
      <c r="T95" s="229"/>
      <c r="U95" s="6"/>
      <c r="V95" s="6"/>
      <c r="W95" s="6"/>
      <c r="X95" s="6"/>
      <c r="Y95" s="6"/>
      <c r="Z95" s="6"/>
    </row>
    <row r="96" spans="1:26" hidden="1" outlineLevel="1" x14ac:dyDescent="0.25">
      <c r="A96" s="121"/>
      <c r="B96" s="30">
        <v>6</v>
      </c>
      <c r="C96" s="229">
        <f t="shared" ref="C96:L96" si="28">IF(C84&gt;0,LN(C84),0)</f>
        <v>0</v>
      </c>
      <c r="D96" s="229">
        <f t="shared" si="28"/>
        <v>0</v>
      </c>
      <c r="E96" s="229">
        <f t="shared" si="28"/>
        <v>0</v>
      </c>
      <c r="F96" s="229">
        <f t="shared" si="28"/>
        <v>0</v>
      </c>
      <c r="G96" s="229">
        <f t="shared" si="28"/>
        <v>0</v>
      </c>
      <c r="H96" s="229">
        <f t="shared" si="28"/>
        <v>0</v>
      </c>
      <c r="I96" s="229">
        <f t="shared" si="28"/>
        <v>0</v>
      </c>
      <c r="J96" s="229">
        <f t="shared" si="28"/>
        <v>0</v>
      </c>
      <c r="K96" s="229">
        <f t="shared" si="28"/>
        <v>0</v>
      </c>
      <c r="L96" s="229">
        <f t="shared" si="28"/>
        <v>0</v>
      </c>
      <c r="M96" s="229">
        <f t="shared" si="21"/>
        <v>1</v>
      </c>
      <c r="N96" s="253">
        <f t="shared" si="22"/>
        <v>0</v>
      </c>
      <c r="O96" s="234">
        <f t="shared" si="23"/>
        <v>0</v>
      </c>
      <c r="P96" s="234"/>
      <c r="Q96" s="6"/>
      <c r="R96" s="6"/>
      <c r="S96" s="6"/>
      <c r="T96" s="229"/>
      <c r="U96" s="6"/>
      <c r="V96" s="6"/>
      <c r="W96" s="6"/>
      <c r="X96" s="6"/>
      <c r="Y96" s="6"/>
      <c r="Z96" s="6"/>
    </row>
    <row r="97" spans="1:26" hidden="1" outlineLevel="1" x14ac:dyDescent="0.25">
      <c r="A97" s="121"/>
      <c r="B97" s="30">
        <v>7</v>
      </c>
      <c r="C97" s="229">
        <f t="shared" ref="C97:L97" si="29">IF(C85&gt;0,LN(C85),0)</f>
        <v>0</v>
      </c>
      <c r="D97" s="229">
        <f t="shared" si="29"/>
        <v>0</v>
      </c>
      <c r="E97" s="229">
        <f t="shared" si="29"/>
        <v>0</v>
      </c>
      <c r="F97" s="229">
        <f t="shared" si="29"/>
        <v>0</v>
      </c>
      <c r="G97" s="229">
        <f t="shared" si="29"/>
        <v>0</v>
      </c>
      <c r="H97" s="229">
        <f t="shared" si="29"/>
        <v>0</v>
      </c>
      <c r="I97" s="229">
        <f t="shared" si="29"/>
        <v>0</v>
      </c>
      <c r="J97" s="229">
        <f t="shared" si="29"/>
        <v>0</v>
      </c>
      <c r="K97" s="229">
        <f t="shared" si="29"/>
        <v>0</v>
      </c>
      <c r="L97" s="229">
        <f t="shared" si="29"/>
        <v>0</v>
      </c>
      <c r="M97" s="229">
        <f t="shared" si="21"/>
        <v>1</v>
      </c>
      <c r="N97" s="253">
        <f t="shared" si="22"/>
        <v>0</v>
      </c>
      <c r="O97" s="234">
        <f t="shared" si="23"/>
        <v>0</v>
      </c>
      <c r="P97" s="234"/>
      <c r="Q97" s="6"/>
      <c r="R97" s="6"/>
      <c r="S97" s="6"/>
      <c r="T97" s="229"/>
      <c r="U97" s="6"/>
      <c r="V97" s="6"/>
      <c r="W97" s="6"/>
      <c r="X97" s="6"/>
      <c r="Y97" s="6"/>
      <c r="Z97" s="6"/>
    </row>
    <row r="98" spans="1:26" hidden="1" outlineLevel="1" x14ac:dyDescent="0.25">
      <c r="A98" s="121"/>
      <c r="B98" s="30">
        <v>8</v>
      </c>
      <c r="C98" s="229">
        <f t="shared" ref="C98:L98" si="30">IF(C86&gt;0,LN(C86),0)</f>
        <v>0</v>
      </c>
      <c r="D98" s="229">
        <f t="shared" si="30"/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21"/>
        <v>1</v>
      </c>
      <c r="N98" s="253">
        <f t="shared" si="22"/>
        <v>0</v>
      </c>
      <c r="O98" s="234">
        <f t="shared" si="23"/>
        <v>0</v>
      </c>
      <c r="P98" s="234"/>
      <c r="Q98" s="6"/>
      <c r="R98" s="6"/>
      <c r="S98" s="6"/>
      <c r="T98" s="229"/>
      <c r="U98" s="6"/>
      <c r="V98" s="6"/>
      <c r="W98" s="6"/>
      <c r="X98" s="6"/>
      <c r="Y98" s="6"/>
      <c r="Z98" s="6"/>
    </row>
    <row r="99" spans="1:26" hidden="1" outlineLevel="1" x14ac:dyDescent="0.25">
      <c r="A99" s="121"/>
      <c r="B99" s="30">
        <v>9</v>
      </c>
      <c r="C99" s="229">
        <f t="shared" ref="C99:L99" si="31">IF(C87&gt;0,LN(C87),0)</f>
        <v>0</v>
      </c>
      <c r="D99" s="229">
        <f t="shared" si="31"/>
        <v>0</v>
      </c>
      <c r="E99" s="229">
        <f t="shared" si="31"/>
        <v>0</v>
      </c>
      <c r="F99" s="229">
        <f t="shared" si="31"/>
        <v>0</v>
      </c>
      <c r="G99" s="229">
        <f t="shared" si="31"/>
        <v>0</v>
      </c>
      <c r="H99" s="229">
        <f t="shared" si="31"/>
        <v>0</v>
      </c>
      <c r="I99" s="229">
        <f t="shared" si="31"/>
        <v>0</v>
      </c>
      <c r="J99" s="229">
        <f t="shared" si="31"/>
        <v>0</v>
      </c>
      <c r="K99" s="229">
        <f t="shared" si="31"/>
        <v>0</v>
      </c>
      <c r="L99" s="229">
        <f t="shared" si="31"/>
        <v>0</v>
      </c>
      <c r="M99" s="229">
        <f t="shared" si="21"/>
        <v>1</v>
      </c>
      <c r="N99" s="253">
        <f t="shared" si="22"/>
        <v>0</v>
      </c>
      <c r="O99" s="234">
        <f t="shared" si="23"/>
        <v>0</v>
      </c>
      <c r="P99" s="234"/>
      <c r="Q99" s="6"/>
      <c r="R99" s="6"/>
      <c r="S99" s="6"/>
      <c r="T99" s="229"/>
      <c r="U99" s="6"/>
      <c r="V99" s="6"/>
      <c r="W99" s="6"/>
      <c r="X99" s="6"/>
      <c r="Y99" s="6"/>
      <c r="Z99" s="6"/>
    </row>
    <row r="100" spans="1:26" hidden="1" outlineLevel="1" x14ac:dyDescent="0.25">
      <c r="A100" s="121"/>
      <c r="B100" s="30">
        <v>10</v>
      </c>
      <c r="C100" s="229">
        <f t="shared" ref="C100:L100" si="32">IF(C88&gt;0,LN(C88),0)</f>
        <v>0</v>
      </c>
      <c r="D100" s="229">
        <f t="shared" si="32"/>
        <v>0</v>
      </c>
      <c r="E100" s="229">
        <f t="shared" si="32"/>
        <v>0</v>
      </c>
      <c r="F100" s="229">
        <f t="shared" si="32"/>
        <v>0</v>
      </c>
      <c r="G100" s="229">
        <f t="shared" si="32"/>
        <v>0</v>
      </c>
      <c r="H100" s="229">
        <f t="shared" si="32"/>
        <v>0</v>
      </c>
      <c r="I100" s="229">
        <f t="shared" si="32"/>
        <v>0</v>
      </c>
      <c r="J100" s="229">
        <f t="shared" si="32"/>
        <v>0</v>
      </c>
      <c r="K100" s="229">
        <f t="shared" si="32"/>
        <v>0</v>
      </c>
      <c r="L100" s="229">
        <f t="shared" si="32"/>
        <v>0</v>
      </c>
      <c r="M100" s="229">
        <f t="shared" si="21"/>
        <v>1</v>
      </c>
      <c r="N100" s="253">
        <f t="shared" si="22"/>
        <v>0</v>
      </c>
      <c r="O100" s="234">
        <f t="shared" si="23"/>
        <v>0</v>
      </c>
      <c r="P100" s="234"/>
      <c r="Q100" s="6"/>
      <c r="R100" s="6"/>
      <c r="S100" s="6"/>
      <c r="T100" s="229"/>
      <c r="U100" s="6"/>
      <c r="V100" s="6"/>
      <c r="W100" s="6"/>
      <c r="X100" s="6"/>
      <c r="Y100" s="6"/>
      <c r="Z100" s="6"/>
    </row>
    <row r="101" spans="1:26" hidden="1" outlineLevel="1" x14ac:dyDescent="0.25">
      <c r="A101" s="121"/>
      <c r="B101" s="221" t="s">
        <v>101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35">
        <f>SUM(M91:M100)-(10-K1)</f>
        <v>3</v>
      </c>
      <c r="N101" s="236">
        <f>MMULT(C89:L89,N91:N100)</f>
        <v>3</v>
      </c>
      <c r="O101" s="237">
        <f>SUM(O91:O100)</f>
        <v>1</v>
      </c>
      <c r="P101" s="22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idden="1" outlineLevel="1" x14ac:dyDescent="0.25">
      <c r="A102" s="121"/>
      <c r="B102" s="30">
        <v>1</v>
      </c>
      <c r="C102" s="30">
        <v>1</v>
      </c>
      <c r="D102" s="30">
        <f t="shared" ref="D102:L102" ca="1" si="33">IF(AND($B79&lt;=$K$1,D$78&lt;=$K$1,(D113&gt;1/9),(D113&lt;9)),IF(D79*D113&gt;1,D79*D113,1/(D79*D113)),0)</f>
        <v>1</v>
      </c>
      <c r="E102" s="30">
        <f t="shared" ca="1" si="33"/>
        <v>1</v>
      </c>
      <c r="F102" s="30">
        <f t="shared" ca="1" si="33"/>
        <v>0</v>
      </c>
      <c r="G102" s="30">
        <f t="shared" ca="1" si="33"/>
        <v>0</v>
      </c>
      <c r="H102" s="30">
        <f t="shared" ca="1" si="33"/>
        <v>0</v>
      </c>
      <c r="I102" s="30">
        <f t="shared" ca="1" si="33"/>
        <v>0</v>
      </c>
      <c r="J102" s="30">
        <f t="shared" ca="1" si="33"/>
        <v>0</v>
      </c>
      <c r="K102" s="30">
        <f t="shared" ca="1" si="33"/>
        <v>0</v>
      </c>
      <c r="L102" s="30">
        <f t="shared" ca="1" si="33"/>
        <v>0</v>
      </c>
      <c r="M102" s="6"/>
      <c r="N102" s="113"/>
    </row>
    <row r="103" spans="1:26" hidden="1" outlineLevel="1" x14ac:dyDescent="0.25">
      <c r="A103" s="121"/>
      <c r="B103" s="30">
        <v>2</v>
      </c>
      <c r="C103" s="238"/>
      <c r="D103" s="30">
        <v>1</v>
      </c>
      <c r="E103" s="30">
        <f t="shared" ref="E103:L103" ca="1" si="34">IF(AND($B80&lt;=$K$1,E$78&lt;=$K$1,(E114&gt;1/9),(E114&lt;9)),IF(E80*E114&gt;1,E80*E114,1/(E80*E114)),0)</f>
        <v>1</v>
      </c>
      <c r="F103" s="30">
        <f t="shared" ca="1" si="34"/>
        <v>0</v>
      </c>
      <c r="G103" s="30">
        <f t="shared" ca="1" si="34"/>
        <v>0</v>
      </c>
      <c r="H103" s="30">
        <f t="shared" ca="1" si="34"/>
        <v>0</v>
      </c>
      <c r="I103" s="30">
        <f t="shared" ca="1" si="34"/>
        <v>0</v>
      </c>
      <c r="J103" s="30">
        <f t="shared" ca="1" si="34"/>
        <v>0</v>
      </c>
      <c r="K103" s="30">
        <f t="shared" ca="1" si="34"/>
        <v>0</v>
      </c>
      <c r="L103" s="30">
        <f t="shared" ca="1" si="34"/>
        <v>0</v>
      </c>
      <c r="M103" s="6"/>
      <c r="N103" s="113"/>
    </row>
    <row r="104" spans="1:26" hidden="1" outlineLevel="1" x14ac:dyDescent="0.25">
      <c r="A104" s="121"/>
      <c r="B104" s="30">
        <v>3</v>
      </c>
      <c r="C104" s="238"/>
      <c r="D104" s="238"/>
      <c r="E104" s="30">
        <v>1</v>
      </c>
      <c r="F104" s="30">
        <f t="shared" ref="F104:L104" ca="1" si="35">IF(AND($B81&lt;=$K$1,F$78&lt;=$K$1,(F115&gt;1/9),(F115&lt;9)),IF(F81*F115&gt;1,F81*F115,1/(F81*F115)),0)</f>
        <v>0</v>
      </c>
      <c r="G104" s="30">
        <f t="shared" ca="1" si="35"/>
        <v>0</v>
      </c>
      <c r="H104" s="30">
        <f t="shared" ca="1" si="35"/>
        <v>0</v>
      </c>
      <c r="I104" s="30">
        <f t="shared" ca="1" si="35"/>
        <v>0</v>
      </c>
      <c r="J104" s="30">
        <f t="shared" ca="1" si="35"/>
        <v>0</v>
      </c>
      <c r="K104" s="30">
        <f t="shared" ca="1" si="35"/>
        <v>0</v>
      </c>
      <c r="L104" s="30">
        <f t="shared" ca="1" si="35"/>
        <v>0</v>
      </c>
      <c r="M104" s="6"/>
      <c r="N104" s="113"/>
    </row>
    <row r="105" spans="1:26" hidden="1" outlineLevel="1" x14ac:dyDescent="0.25">
      <c r="A105" s="121"/>
      <c r="B105" s="30">
        <v>4</v>
      </c>
      <c r="C105" s="238"/>
      <c r="D105" s="238"/>
      <c r="E105" s="238"/>
      <c r="F105" s="30">
        <v>1</v>
      </c>
      <c r="G105" s="30">
        <f t="shared" ref="G105:L105" ca="1" si="36">IF(AND($B82&lt;=$K$1,G$78&lt;=$K$1,(G116&gt;1/9),(G116&lt;9)),IF(G82*G116&gt;1,G82*G116,1/(G82*G116)),0)</f>
        <v>0</v>
      </c>
      <c r="H105" s="30">
        <f t="shared" ca="1" si="36"/>
        <v>0</v>
      </c>
      <c r="I105" s="30">
        <f t="shared" ca="1" si="36"/>
        <v>0</v>
      </c>
      <c r="J105" s="30">
        <f t="shared" ca="1" si="36"/>
        <v>0</v>
      </c>
      <c r="K105" s="30">
        <f t="shared" ca="1" si="36"/>
        <v>0</v>
      </c>
      <c r="L105" s="30">
        <f t="shared" ca="1" si="36"/>
        <v>0</v>
      </c>
      <c r="M105" s="6"/>
      <c r="N105" s="113"/>
    </row>
    <row r="106" spans="1:26" hidden="1" outlineLevel="1" x14ac:dyDescent="0.25">
      <c r="A106" s="121"/>
      <c r="B106" s="30">
        <v>5</v>
      </c>
      <c r="C106" s="238"/>
      <c r="D106" s="238"/>
      <c r="E106" s="238"/>
      <c r="F106" s="238"/>
      <c r="G106" s="30">
        <v>1</v>
      </c>
      <c r="H106" s="30">
        <f ca="1">IF(AND($B83&lt;=$K$1,H$78&lt;=$K$1,(H117&gt;1/9),(H117&lt;9)),IF(H83*H117&gt;1,H83*H117,1/(H83*H117)),0)</f>
        <v>0</v>
      </c>
      <c r="I106" s="30">
        <f ca="1">IF(AND($B83&lt;=$K$1,I$78&lt;=$K$1,(I117&gt;1/9),(I117&lt;9)),IF(I83*I117&gt;1,I83*I117,1/(I83*I117)),0)</f>
        <v>0</v>
      </c>
      <c r="J106" s="30">
        <f ca="1">IF(AND($B83&lt;=$K$1,J$78&lt;=$K$1,(J117&gt;1/9),(J117&lt;9)),IF(J83*J117&gt;1,J83*J117,1/(J83*J117)),0)</f>
        <v>0</v>
      </c>
      <c r="K106" s="30">
        <f ca="1">IF(AND($B83&lt;=$K$1,K$78&lt;=$K$1,(K117&gt;1/9),(K117&lt;9)),IF(K83*K117&gt;1,K83*K117,1/(K83*K117)),0)</f>
        <v>0</v>
      </c>
      <c r="L106" s="30">
        <f ca="1">IF(AND($B83&lt;=$K$1,L$78&lt;=$K$1,(L117&gt;1/9),(L117&lt;9)),IF(L83*L117&gt;1,L83*L117,1/(L83*L117)),0)</f>
        <v>0</v>
      </c>
      <c r="M106" s="6"/>
      <c r="N106" s="113"/>
    </row>
    <row r="107" spans="1:26" hidden="1" outlineLevel="1" x14ac:dyDescent="0.25">
      <c r="A107" s="121"/>
      <c r="B107" s="30">
        <v>6</v>
      </c>
      <c r="C107" s="238"/>
      <c r="D107" s="238"/>
      <c r="E107" s="238"/>
      <c r="F107" s="238"/>
      <c r="G107" s="238"/>
      <c r="H107" s="30">
        <v>1</v>
      </c>
      <c r="I107" s="30">
        <f ca="1">IF(AND($B84&lt;=$K$1,I$78&lt;=$K$1,(I118&gt;1/9),(I118&lt;9)),IF(I84*I118&gt;1,I84*I118,1/(I84*I118)),0)</f>
        <v>0</v>
      </c>
      <c r="J107" s="30">
        <f ca="1">IF(AND($B84&lt;=$K$1,J$78&lt;=$K$1,(J118&gt;1/9),(J118&lt;9)),IF(J84*J118&gt;1,J84*J118,1/(J84*J118)),0)</f>
        <v>0</v>
      </c>
      <c r="K107" s="30">
        <f ca="1">IF(AND($B84&lt;=$K$1,K$78&lt;=$K$1,(K118&gt;1/9),(K118&lt;9)),IF(K84*K118&gt;1,K84*K118,1/(K84*K118)),0)</f>
        <v>0</v>
      </c>
      <c r="L107" s="30">
        <f ca="1">IF(AND($B84&lt;=$K$1,L$78&lt;=$K$1,(L118&gt;1/9),(L118&lt;9)),IF(L84*L118&gt;1,L84*L118,1/(L84*L118)),0)</f>
        <v>0</v>
      </c>
      <c r="M107" s="6"/>
      <c r="N107" s="113"/>
    </row>
    <row r="108" spans="1:26" hidden="1" outlineLevel="1" x14ac:dyDescent="0.25">
      <c r="A108" s="121"/>
      <c r="B108" s="30">
        <v>7</v>
      </c>
      <c r="C108" s="238"/>
      <c r="D108" s="238"/>
      <c r="E108" s="238"/>
      <c r="F108" s="238"/>
      <c r="G108" s="238"/>
      <c r="H108" s="238"/>
      <c r="I108" s="30">
        <v>1</v>
      </c>
      <c r="J108" s="30">
        <f ca="1">IF(AND($B85&lt;=$K$1,J$78&lt;=$K$1,(J119&gt;1/9),(J119&lt;9)),IF(J85*J119&gt;1,J85*J119,1/(J85*J119)),0)</f>
        <v>0</v>
      </c>
      <c r="K108" s="30">
        <f ca="1">IF(AND($B85&lt;=$K$1,K$78&lt;=$K$1,(K119&gt;1/9),(K119&lt;9)),IF(K85*K119&gt;1,K85*K119,1/(K85*K119)),0)</f>
        <v>0</v>
      </c>
      <c r="L108" s="30">
        <f ca="1">IF(AND($B85&lt;=$K$1,L$78&lt;=$K$1,(L119&gt;1/9),(L119&lt;9)),IF(L85*L119&gt;1,L85*L119,1/(L85*L119)),0)</f>
        <v>0</v>
      </c>
      <c r="M108" s="6"/>
      <c r="N108" s="113"/>
    </row>
    <row r="109" spans="1:26" hidden="1" outlineLevel="1" x14ac:dyDescent="0.25">
      <c r="A109" s="121"/>
      <c r="B109" s="30">
        <v>8</v>
      </c>
      <c r="C109" s="238"/>
      <c r="D109" s="238"/>
      <c r="E109" s="238"/>
      <c r="F109" s="238"/>
      <c r="G109" s="238"/>
      <c r="H109" s="238"/>
      <c r="I109" s="238"/>
      <c r="J109" s="30">
        <v>1</v>
      </c>
      <c r="K109" s="30">
        <f ca="1">IF(AND($B86&lt;=$K$1,K$78&lt;=$K$1,(K120&gt;1/9),(K120&lt;9)),IF(K86*K120&gt;1,K86*K120,1/(K86*K120)),0)</f>
        <v>0</v>
      </c>
      <c r="L109" s="30">
        <f ca="1">IF(AND($B86&lt;=$K$1,L$78&lt;=$K$1,(L120&gt;1/9),(L120&lt;9)),IF(L86*L120&gt;1,L86*L120,1/(L86*L120)),0)</f>
        <v>0</v>
      </c>
      <c r="M109" s="6"/>
      <c r="N109" s="113"/>
    </row>
    <row r="110" spans="1:26" hidden="1" outlineLevel="1" x14ac:dyDescent="0.25">
      <c r="A110" s="121"/>
      <c r="B110" s="30">
        <v>9</v>
      </c>
      <c r="C110" s="238"/>
      <c r="D110" s="238"/>
      <c r="E110" s="238"/>
      <c r="F110" s="238"/>
      <c r="G110" s="238"/>
      <c r="H110" s="238"/>
      <c r="I110" s="238"/>
      <c r="J110" s="238"/>
      <c r="K110" s="30">
        <v>1</v>
      </c>
      <c r="L110" s="30">
        <f ca="1">IF(AND($B87&lt;=$K$1,L$78&lt;=$K$1,(L121&gt;1/9),(L121&lt;9)),IF(L87*L121&gt;1,L87*L121,1/(L87*L121)),0)</f>
        <v>0</v>
      </c>
      <c r="M110" s="6"/>
      <c r="N110" s="113"/>
    </row>
    <row r="111" spans="1:26" hidden="1" outlineLevel="1" x14ac:dyDescent="0.25">
      <c r="A111" s="121"/>
      <c r="B111" s="30">
        <v>10</v>
      </c>
      <c r="C111" s="238"/>
      <c r="D111" s="238"/>
      <c r="E111" s="238"/>
      <c r="F111" s="238"/>
      <c r="G111" s="238"/>
      <c r="H111" s="238"/>
      <c r="I111" s="238"/>
      <c r="J111" s="238"/>
      <c r="K111" s="238"/>
      <c r="L111" s="30">
        <v>1</v>
      </c>
      <c r="M111" s="6"/>
      <c r="N111" s="113"/>
    </row>
    <row r="112" spans="1:26" hidden="1" outlineLevel="1" x14ac:dyDescent="0.25">
      <c r="A112" s="121"/>
      <c r="B112" s="2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3"/>
    </row>
    <row r="113" spans="1:14" hidden="1" outlineLevel="1" x14ac:dyDescent="0.25">
      <c r="A113" s="121"/>
      <c r="B113" s="30">
        <v>1</v>
      </c>
      <c r="C113" s="239">
        <v>1</v>
      </c>
      <c r="D113" s="30">
        <f t="shared" ref="D113:L113" ca="1" si="37">IF(AND($B91&lt;=$K$1,D$78&lt;=$K$1), OFFSET($N$90,D$78,0)/OFFSET($N$90,$B91,0),0)</f>
        <v>1</v>
      </c>
      <c r="E113" s="30">
        <f t="shared" ca="1" si="37"/>
        <v>1</v>
      </c>
      <c r="F113" s="30">
        <f t="shared" ca="1" si="37"/>
        <v>0</v>
      </c>
      <c r="G113" s="30">
        <f t="shared" ca="1" si="37"/>
        <v>0</v>
      </c>
      <c r="H113" s="30">
        <f t="shared" ca="1" si="37"/>
        <v>0</v>
      </c>
      <c r="I113" s="30">
        <f t="shared" ca="1" si="37"/>
        <v>0</v>
      </c>
      <c r="J113" s="30">
        <f t="shared" ca="1" si="37"/>
        <v>0</v>
      </c>
      <c r="K113" s="30">
        <f t="shared" ca="1" si="37"/>
        <v>0</v>
      </c>
      <c r="L113" s="30">
        <f t="shared" ca="1" si="37"/>
        <v>0</v>
      </c>
      <c r="M113" s="6"/>
      <c r="N113" s="113"/>
    </row>
    <row r="114" spans="1:14" hidden="1" outlineLevel="1" x14ac:dyDescent="0.25">
      <c r="A114" s="121"/>
      <c r="B114" s="30">
        <v>2</v>
      </c>
      <c r="C114" s="238"/>
      <c r="D114" s="239">
        <v>1</v>
      </c>
      <c r="E114" s="30">
        <f t="shared" ref="E114:L114" ca="1" si="38">IF(AND($B92&lt;=$K$1,E$78&lt;=$K$1), OFFSET($N$90,E$78,0)/OFFSET($N$90,$B92,0),0)</f>
        <v>1</v>
      </c>
      <c r="F114" s="30">
        <f t="shared" ca="1" si="38"/>
        <v>0</v>
      </c>
      <c r="G114" s="30">
        <f t="shared" ca="1" si="38"/>
        <v>0</v>
      </c>
      <c r="H114" s="30">
        <f t="shared" ca="1" si="38"/>
        <v>0</v>
      </c>
      <c r="I114" s="30">
        <f t="shared" ca="1" si="38"/>
        <v>0</v>
      </c>
      <c r="J114" s="30">
        <f t="shared" ca="1" si="38"/>
        <v>0</v>
      </c>
      <c r="K114" s="30">
        <f t="shared" ca="1" si="38"/>
        <v>0</v>
      </c>
      <c r="L114" s="30">
        <f t="shared" ca="1" si="38"/>
        <v>0</v>
      </c>
      <c r="M114" s="6"/>
      <c r="N114" s="113"/>
    </row>
    <row r="115" spans="1:14" hidden="1" outlineLevel="1" x14ac:dyDescent="0.25">
      <c r="A115" s="121"/>
      <c r="B115" s="30">
        <v>3</v>
      </c>
      <c r="C115" s="238"/>
      <c r="D115" s="238"/>
      <c r="E115" s="239">
        <v>1</v>
      </c>
      <c r="F115" s="30">
        <f t="shared" ref="F115:L115" ca="1" si="39">IF(AND($B93&lt;=$K$1,F$78&lt;=$K$1), OFFSET($N$90,F$78,0)/OFFSET($N$90,$B93,0),0)</f>
        <v>0</v>
      </c>
      <c r="G115" s="30">
        <f t="shared" ca="1" si="39"/>
        <v>0</v>
      </c>
      <c r="H115" s="30">
        <f t="shared" ca="1" si="39"/>
        <v>0</v>
      </c>
      <c r="I115" s="30">
        <f t="shared" ca="1" si="39"/>
        <v>0</v>
      </c>
      <c r="J115" s="30">
        <f t="shared" ca="1" si="39"/>
        <v>0</v>
      </c>
      <c r="K115" s="30">
        <f t="shared" ca="1" si="39"/>
        <v>0</v>
      </c>
      <c r="L115" s="30">
        <f t="shared" ca="1" si="39"/>
        <v>0</v>
      </c>
      <c r="M115" s="6"/>
      <c r="N115" s="113"/>
    </row>
    <row r="116" spans="1:14" hidden="1" outlineLevel="1" x14ac:dyDescent="0.25">
      <c r="A116" s="121"/>
      <c r="B116" s="30">
        <v>4</v>
      </c>
      <c r="C116" s="238"/>
      <c r="D116" s="238"/>
      <c r="E116" s="238"/>
      <c r="F116" s="239">
        <v>1</v>
      </c>
      <c r="G116" s="30">
        <f t="shared" ref="G116:L116" ca="1" si="40">IF(AND($B94&lt;=$K$1,G$78&lt;=$K$1), OFFSET($N$90,G$78,0)/OFFSET($N$90,$B94,0),0)</f>
        <v>0</v>
      </c>
      <c r="H116" s="30">
        <f t="shared" ca="1" si="40"/>
        <v>0</v>
      </c>
      <c r="I116" s="30">
        <f t="shared" ca="1" si="40"/>
        <v>0</v>
      </c>
      <c r="J116" s="30">
        <f t="shared" ca="1" si="40"/>
        <v>0</v>
      </c>
      <c r="K116" s="30">
        <f t="shared" ca="1" si="40"/>
        <v>0</v>
      </c>
      <c r="L116" s="30">
        <f t="shared" ca="1" si="40"/>
        <v>0</v>
      </c>
      <c r="M116" s="6"/>
      <c r="N116" s="113"/>
    </row>
    <row r="117" spans="1:14" hidden="1" outlineLevel="1" x14ac:dyDescent="0.25">
      <c r="A117" s="121"/>
      <c r="B117" s="30">
        <v>5</v>
      </c>
      <c r="C117" s="238"/>
      <c r="D117" s="238"/>
      <c r="E117" s="238"/>
      <c r="F117" s="238"/>
      <c r="G117" s="239">
        <v>1</v>
      </c>
      <c r="H117" s="30">
        <f ca="1">IF(AND($B95&lt;=$K$1,H$78&lt;=$K$1), OFFSET($N$90,H$78,0)/OFFSET($N$90,$B95,0),0)</f>
        <v>0</v>
      </c>
      <c r="I117" s="30">
        <f ca="1">IF(AND($B95&lt;=$K$1,I$78&lt;=$K$1), OFFSET($N$90,I$78,0)/OFFSET($N$90,$B95,0),0)</f>
        <v>0</v>
      </c>
      <c r="J117" s="30">
        <f ca="1">IF(AND($B95&lt;=$K$1,J$78&lt;=$K$1), OFFSET($N$90,J$78,0)/OFFSET($N$90,$B95,0),0)</f>
        <v>0</v>
      </c>
      <c r="K117" s="30">
        <f ca="1">IF(AND($B95&lt;=$K$1,K$78&lt;=$K$1), OFFSET($N$90,K$78,0)/OFFSET($N$90,$B95,0),0)</f>
        <v>0</v>
      </c>
      <c r="L117" s="30">
        <f ca="1">IF(AND($B95&lt;=$K$1,L$78&lt;=$K$1), OFFSET($N$90,L$78,0)/OFFSET($N$90,$B95,0),0)</f>
        <v>0</v>
      </c>
      <c r="M117" s="6"/>
      <c r="N117" s="113"/>
    </row>
    <row r="118" spans="1:14" hidden="1" outlineLevel="1" x14ac:dyDescent="0.25">
      <c r="A118" s="121"/>
      <c r="B118" s="30">
        <v>6</v>
      </c>
      <c r="C118" s="238"/>
      <c r="D118" s="238"/>
      <c r="E118" s="238"/>
      <c r="F118" s="238"/>
      <c r="G118" s="238"/>
      <c r="H118" s="239">
        <v>1</v>
      </c>
      <c r="I118" s="30">
        <f ca="1">IF(AND($B96&lt;=$K$1,I$78&lt;=$K$1), OFFSET($N$90,I$78,0)/OFFSET($N$90,$B96,0),0)</f>
        <v>0</v>
      </c>
      <c r="J118" s="30">
        <f ca="1">IF(AND($B96&lt;=$K$1,J$78&lt;=$K$1), OFFSET($N$90,J$78,0)/OFFSET($N$90,$B96,0),0)</f>
        <v>0</v>
      </c>
      <c r="K118" s="30">
        <f ca="1">IF(AND($B96&lt;=$K$1,K$78&lt;=$K$1), OFFSET($N$90,K$78,0)/OFFSET($N$90,$B96,0),0)</f>
        <v>0</v>
      </c>
      <c r="L118" s="30">
        <f ca="1">IF(AND($B96&lt;=$K$1,L$78&lt;=$K$1), OFFSET($N$90,L$78,0)/OFFSET($N$90,$B96,0),0)</f>
        <v>0</v>
      </c>
      <c r="M118" s="6"/>
      <c r="N118" s="113"/>
    </row>
    <row r="119" spans="1:14" hidden="1" outlineLevel="1" x14ac:dyDescent="0.25">
      <c r="A119" s="121"/>
      <c r="B119" s="30">
        <v>7</v>
      </c>
      <c r="C119" s="238"/>
      <c r="D119" s="238"/>
      <c r="E119" s="238"/>
      <c r="F119" s="238"/>
      <c r="G119" s="238"/>
      <c r="H119" s="238"/>
      <c r="I119" s="239">
        <v>1</v>
      </c>
      <c r="J119" s="30">
        <f ca="1">IF(AND($B97&lt;=$K$1,J$78&lt;=$K$1), OFFSET($N$90,J$78,0)/OFFSET($N$90,$B97,0),0)</f>
        <v>0</v>
      </c>
      <c r="K119" s="30">
        <f ca="1">IF(AND($B97&lt;=$K$1,K$78&lt;=$K$1), OFFSET($N$90,K$78,0)/OFFSET($N$90,$B97,0),0)</f>
        <v>0</v>
      </c>
      <c r="L119" s="30">
        <f ca="1">IF(AND($B97&lt;=$K$1,L$78&lt;=$K$1), OFFSET($N$90,L$78,0)/OFFSET($N$90,$B97,0),0)</f>
        <v>0</v>
      </c>
      <c r="M119" s="6"/>
      <c r="N119" s="113"/>
    </row>
    <row r="120" spans="1:14" hidden="1" outlineLevel="1" x14ac:dyDescent="0.25">
      <c r="A120" s="121"/>
      <c r="B120" s="30">
        <v>8</v>
      </c>
      <c r="C120" s="238"/>
      <c r="D120" s="238"/>
      <c r="E120" s="238"/>
      <c r="F120" s="238"/>
      <c r="G120" s="238"/>
      <c r="H120" s="238"/>
      <c r="I120" s="238"/>
      <c r="J120" s="239">
        <v>1</v>
      </c>
      <c r="K120" s="30">
        <f ca="1">IF(AND($B98&lt;=$K$1,K$78&lt;=$K$1), OFFSET($N$90,K$78,0)/OFFSET($N$90,$B98,0),0)</f>
        <v>0</v>
      </c>
      <c r="L120" s="30">
        <f ca="1">IF(AND($B98&lt;=$K$1,L$78&lt;=$K$1), OFFSET($N$90,L$78,0)/OFFSET($N$90,$B98,0),0)</f>
        <v>0</v>
      </c>
      <c r="M120" s="6"/>
      <c r="N120" s="113"/>
    </row>
    <row r="121" spans="1:14" hidden="1" outlineLevel="1" x14ac:dyDescent="0.25">
      <c r="A121" s="121"/>
      <c r="B121" s="30">
        <v>9</v>
      </c>
      <c r="C121" s="238"/>
      <c r="D121" s="238"/>
      <c r="E121" s="238"/>
      <c r="F121" s="238"/>
      <c r="G121" s="238"/>
      <c r="H121" s="238"/>
      <c r="I121" s="238"/>
      <c r="J121" s="238"/>
      <c r="K121" s="239">
        <v>1</v>
      </c>
      <c r="L121" s="30">
        <f ca="1">IF(AND($B99&lt;=$K$1,L$78&lt;=$K$1), OFFSET($N$90,L$78,0)/OFFSET($N$90,$B99,0),0)</f>
        <v>0</v>
      </c>
      <c r="M121" s="6"/>
      <c r="N121" s="113"/>
    </row>
    <row r="122" spans="1:14" hidden="1" outlineLevel="1" x14ac:dyDescent="0.25">
      <c r="A122" s="121"/>
      <c r="B122" s="30">
        <v>10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9">
        <v>1</v>
      </c>
      <c r="M122" s="6"/>
      <c r="N122" s="113"/>
    </row>
    <row r="123" spans="1:14" hidden="1" outlineLevel="1" x14ac:dyDescent="0.25">
      <c r="A123" s="240"/>
      <c r="C123" s="104">
        <v>1</v>
      </c>
      <c r="D123" s="104">
        <v>2</v>
      </c>
      <c r="E123" s="104">
        <v>3</v>
      </c>
      <c r="F123" s="104">
        <v>4</v>
      </c>
      <c r="G123" s="104">
        <v>5</v>
      </c>
      <c r="H123" s="104">
        <v>6</v>
      </c>
      <c r="I123" s="104">
        <v>7</v>
      </c>
      <c r="J123" s="104">
        <v>8</v>
      </c>
      <c r="K123" s="104">
        <v>9</v>
      </c>
      <c r="L123" s="104">
        <v>10</v>
      </c>
      <c r="N123" s="241"/>
    </row>
    <row r="124" spans="1:14" hidden="1" outlineLevel="1" x14ac:dyDescent="0.25">
      <c r="A124" s="121"/>
      <c r="B124" s="30">
        <v>1</v>
      </c>
      <c r="C124" s="239">
        <v>1</v>
      </c>
      <c r="D124" s="30" t="str">
        <f t="shared" ref="D124:L124" ca="1" si="41">IF(AND($B124&lt;=$K$1,D$123&lt;=$K$1),IF(D113&gt;1,"B"&amp;TEXT(MIN(9,ROUND(D113,0)),"@"),"A"&amp;TEXT(MIN(9,ROUND(1/D113,0)),"@")),"")</f>
        <v>A1</v>
      </c>
      <c r="E124" s="30" t="str">
        <f t="shared" ca="1" si="41"/>
        <v>A1</v>
      </c>
      <c r="F124" s="30" t="str">
        <f t="shared" si="41"/>
        <v/>
      </c>
      <c r="G124" s="30" t="str">
        <f t="shared" si="41"/>
        <v/>
      </c>
      <c r="H124" s="30" t="str">
        <f t="shared" si="41"/>
        <v/>
      </c>
      <c r="I124" s="30" t="str">
        <f t="shared" si="41"/>
        <v/>
      </c>
      <c r="J124" s="30" t="str">
        <f t="shared" si="41"/>
        <v/>
      </c>
      <c r="K124" s="30" t="str">
        <f t="shared" si="41"/>
        <v/>
      </c>
      <c r="L124" s="30" t="str">
        <f t="shared" si="41"/>
        <v/>
      </c>
      <c r="M124" s="6"/>
      <c r="N124" s="113"/>
    </row>
    <row r="125" spans="1:14" hidden="1" outlineLevel="1" x14ac:dyDescent="0.25">
      <c r="A125" s="121"/>
      <c r="B125" s="30">
        <v>2</v>
      </c>
      <c r="C125" s="238"/>
      <c r="D125" s="239">
        <v>1</v>
      </c>
      <c r="E125" s="30" t="str">
        <f t="shared" ref="E125:L125" ca="1" si="42">IF(AND($B125&lt;=$K$1,E$123&lt;=$K$1),IF(E114&gt;1,"B"&amp;TEXT(MIN(9,ROUND(E114,0)),"@"),"A"&amp;TEXT(MIN(9,ROUND(1/E114,0)),"@")),"")</f>
        <v>A1</v>
      </c>
      <c r="F125" s="30" t="str">
        <f t="shared" si="42"/>
        <v/>
      </c>
      <c r="G125" s="30" t="str">
        <f t="shared" si="42"/>
        <v/>
      </c>
      <c r="H125" s="30" t="str">
        <f t="shared" si="42"/>
        <v/>
      </c>
      <c r="I125" s="30" t="str">
        <f t="shared" si="42"/>
        <v/>
      </c>
      <c r="J125" s="30" t="str">
        <f t="shared" si="42"/>
        <v/>
      </c>
      <c r="K125" s="30" t="str">
        <f t="shared" si="42"/>
        <v/>
      </c>
      <c r="L125" s="30" t="str">
        <f t="shared" si="42"/>
        <v/>
      </c>
      <c r="M125" s="6"/>
      <c r="N125" s="113"/>
    </row>
    <row r="126" spans="1:14" hidden="1" outlineLevel="1" x14ac:dyDescent="0.25">
      <c r="A126" s="121"/>
      <c r="B126" s="30">
        <v>3</v>
      </c>
      <c r="C126" s="238"/>
      <c r="D126" s="238"/>
      <c r="E126" s="239">
        <v>1</v>
      </c>
      <c r="F126" s="30" t="str">
        <f t="shared" ref="F126:L126" si="43">IF(AND($B126&lt;=$K$1,F$123&lt;=$K$1),IF(F115&gt;1,"B"&amp;TEXT(MIN(9,ROUND(F115,0)),"@"),"A"&amp;TEXT(MIN(9,ROUND(1/F115,0)),"@")),"")</f>
        <v/>
      </c>
      <c r="G126" s="30" t="str">
        <f t="shared" si="43"/>
        <v/>
      </c>
      <c r="H126" s="30" t="str">
        <f t="shared" si="43"/>
        <v/>
      </c>
      <c r="I126" s="30" t="str">
        <f t="shared" si="43"/>
        <v/>
      </c>
      <c r="J126" s="30" t="str">
        <f t="shared" si="43"/>
        <v/>
      </c>
      <c r="K126" s="30" t="str">
        <f t="shared" si="43"/>
        <v/>
      </c>
      <c r="L126" s="30" t="str">
        <f t="shared" si="43"/>
        <v/>
      </c>
      <c r="M126" s="6"/>
      <c r="N126" s="113"/>
    </row>
    <row r="127" spans="1:14" hidden="1" outlineLevel="1" x14ac:dyDescent="0.25">
      <c r="A127" s="121"/>
      <c r="B127" s="30">
        <v>4</v>
      </c>
      <c r="C127" s="238"/>
      <c r="D127" s="238"/>
      <c r="E127" s="238"/>
      <c r="F127" s="239">
        <v>1</v>
      </c>
      <c r="G127" s="30" t="str">
        <f t="shared" ref="G127:L127" si="44">IF(AND($B127&lt;=$K$1,G$123&lt;=$K$1),IF(G116&gt;1,"B"&amp;TEXT(MIN(9,ROUND(G116,0)),"@"),"A"&amp;TEXT(MIN(9,ROUND(1/G116,0)),"@")),"")</f>
        <v/>
      </c>
      <c r="H127" s="30" t="str">
        <f t="shared" si="44"/>
        <v/>
      </c>
      <c r="I127" s="30" t="str">
        <f t="shared" si="44"/>
        <v/>
      </c>
      <c r="J127" s="30" t="str">
        <f t="shared" si="44"/>
        <v/>
      </c>
      <c r="K127" s="30" t="str">
        <f t="shared" si="44"/>
        <v/>
      </c>
      <c r="L127" s="30" t="str">
        <f t="shared" si="44"/>
        <v/>
      </c>
      <c r="M127" s="6"/>
      <c r="N127" s="113"/>
    </row>
    <row r="128" spans="1:14" hidden="1" outlineLevel="1" x14ac:dyDescent="0.25">
      <c r="A128" s="121"/>
      <c r="B128" s="30">
        <v>5</v>
      </c>
      <c r="C128" s="238"/>
      <c r="D128" s="238"/>
      <c r="E128" s="238"/>
      <c r="F128" s="238"/>
      <c r="G128" s="239">
        <v>1</v>
      </c>
      <c r="H128" s="30" t="str">
        <f>IF(AND($B128&lt;=$K$1,H$123&lt;=$K$1),IF(H117&gt;1,"B"&amp;TEXT(MIN(9,ROUND(H117,0)),"@"),"A"&amp;TEXT(MIN(9,ROUND(1/H117,0)),"@")),"")</f>
        <v/>
      </c>
      <c r="I128" s="30" t="str">
        <f>IF(AND($B128&lt;=$K$1,I$123&lt;=$K$1),IF(I117&gt;1,"B"&amp;TEXT(MIN(9,ROUND(I117,0)),"@"),"A"&amp;TEXT(MIN(9,ROUND(1/I117,0)),"@")),"")</f>
        <v/>
      </c>
      <c r="J128" s="30" t="str">
        <f>IF(AND($B128&lt;=$K$1,J$123&lt;=$K$1),IF(J117&gt;1,"B"&amp;TEXT(MIN(9,ROUND(J117,0)),"@"),"A"&amp;TEXT(MIN(9,ROUND(1/J117,0)),"@")),"")</f>
        <v/>
      </c>
      <c r="K128" s="30" t="str">
        <f>IF(AND($B128&lt;=$K$1,K$123&lt;=$K$1),IF(K117&gt;1,"B"&amp;TEXT(MIN(9,ROUND(K117,0)),"@"),"A"&amp;TEXT(MIN(9,ROUND(1/K117,0)),"@")),"")</f>
        <v/>
      </c>
      <c r="L128" s="30" t="str">
        <f>IF(AND($B128&lt;=$K$1,L$123&lt;=$K$1),IF(L117&gt;1,"B"&amp;TEXT(MIN(9,ROUND(L117,0)),"@"),"A"&amp;TEXT(MIN(9,ROUND(1/L117,0)),"@")),"")</f>
        <v/>
      </c>
      <c r="M128" s="6"/>
      <c r="N128" s="113"/>
    </row>
    <row r="129" spans="1:14" hidden="1" outlineLevel="1" x14ac:dyDescent="0.25">
      <c r="A129" s="121"/>
      <c r="B129" s="30">
        <v>6</v>
      </c>
      <c r="C129" s="238"/>
      <c r="D129" s="238"/>
      <c r="E129" s="238"/>
      <c r="F129" s="238"/>
      <c r="G129" s="238"/>
      <c r="H129" s="239">
        <v>1</v>
      </c>
      <c r="I129" s="30" t="str">
        <f>IF(AND($B129&lt;=$K$1,I$123&lt;=$K$1),IF(I118&gt;1,"B"&amp;TEXT(MIN(9,ROUND(I118,0)),"@"),"A"&amp;TEXT(MIN(9,ROUND(1/I118,0)),"@")),"")</f>
        <v/>
      </c>
      <c r="J129" s="30" t="str">
        <f>IF(AND($B129&lt;=$K$1,J$123&lt;=$K$1),IF(J118&gt;1,"B"&amp;TEXT(MIN(9,ROUND(J118,0)),"@"),"A"&amp;TEXT(MIN(9,ROUND(1/J118,0)),"@")),"")</f>
        <v/>
      </c>
      <c r="K129" s="30" t="str">
        <f>IF(AND($B129&lt;=$K$1,K$123&lt;=$K$1),IF(K118&gt;1,"B"&amp;TEXT(MIN(9,ROUND(K118,0)),"@"),"A"&amp;TEXT(MIN(9,ROUND(1/K118,0)),"@")),"")</f>
        <v/>
      </c>
      <c r="L129" s="30" t="str">
        <f>IF(AND($B129&lt;=$K$1,L$123&lt;=$K$1),IF(L118&gt;1,"B"&amp;TEXT(MIN(9,ROUND(L118,0)),"@"),"A"&amp;TEXT(MIN(9,ROUND(1/L118,0)),"@")),"")</f>
        <v/>
      </c>
      <c r="M129" s="6"/>
      <c r="N129" s="113"/>
    </row>
    <row r="130" spans="1:14" hidden="1" outlineLevel="1" x14ac:dyDescent="0.25">
      <c r="A130" s="121"/>
      <c r="B130" s="30">
        <v>7</v>
      </c>
      <c r="C130" s="238"/>
      <c r="D130" s="238"/>
      <c r="E130" s="238"/>
      <c r="F130" s="238"/>
      <c r="G130" s="238"/>
      <c r="H130" s="238"/>
      <c r="I130" s="239">
        <v>1</v>
      </c>
      <c r="J130" s="30" t="str">
        <f>IF(AND($B130&lt;=$K$1,J$123&lt;=$K$1),IF(J119&gt;1,"B"&amp;TEXT(MIN(9,ROUND(J119,0)),"@"),"A"&amp;TEXT(MIN(9,ROUND(1/J119,0)),"@")),"")</f>
        <v/>
      </c>
      <c r="K130" s="30" t="str">
        <f>IF(AND($B130&lt;=$K$1,K$123&lt;=$K$1),IF(K119&gt;1,"B"&amp;TEXT(MIN(9,ROUND(K119,0)),"@"),"A"&amp;TEXT(MIN(9,ROUND(1/K119,0)),"@")),"")</f>
        <v/>
      </c>
      <c r="L130" s="30" t="str">
        <f>IF(AND($B130&lt;=$K$1,L$123&lt;=$K$1),IF(L119&gt;1,"B"&amp;TEXT(MIN(9,ROUND(L119,0)),"@"),"A"&amp;TEXT(MIN(9,ROUND(1/L119,0)),"@")),"")</f>
        <v/>
      </c>
      <c r="M130" s="6"/>
      <c r="N130" s="113"/>
    </row>
    <row r="131" spans="1:14" hidden="1" outlineLevel="1" x14ac:dyDescent="0.25">
      <c r="A131" s="121"/>
      <c r="B131" s="30">
        <v>8</v>
      </c>
      <c r="C131" s="238"/>
      <c r="D131" s="238"/>
      <c r="E131" s="238"/>
      <c r="F131" s="238"/>
      <c r="G131" s="238"/>
      <c r="H131" s="238"/>
      <c r="I131" s="238"/>
      <c r="J131" s="239">
        <v>1</v>
      </c>
      <c r="K131" s="30" t="str">
        <f>IF(AND($B131&lt;=$K$1,K$123&lt;=$K$1),IF(K120&gt;1,"B"&amp;TEXT(MIN(9,ROUND(K120,0)),"@"),"A"&amp;TEXT(MIN(9,ROUND(1/K120,0)),"@")),"")</f>
        <v/>
      </c>
      <c r="L131" s="30" t="str">
        <f>IF(AND($B131&lt;=$K$1,L$123&lt;=$K$1),IF(L120&gt;1,"B"&amp;TEXT(MIN(9,ROUND(L120,0)),"@"),"A"&amp;TEXT(MIN(9,ROUND(1/L120,0)),"@")),"")</f>
        <v/>
      </c>
      <c r="M131" s="6"/>
      <c r="N131" s="113"/>
    </row>
    <row r="132" spans="1:14" hidden="1" outlineLevel="1" x14ac:dyDescent="0.25">
      <c r="A132" s="121"/>
      <c r="B132" s="30">
        <v>9</v>
      </c>
      <c r="C132" s="238"/>
      <c r="D132" s="238"/>
      <c r="E132" s="238"/>
      <c r="F132" s="238"/>
      <c r="G132" s="238"/>
      <c r="H132" s="238"/>
      <c r="I132" s="238"/>
      <c r="J132" s="238"/>
      <c r="K132" s="239">
        <v>1</v>
      </c>
      <c r="L132" s="30" t="str">
        <f>IF(AND($B132&lt;=$K$1,L$123&lt;=$K$1),IF(L121&gt;1,"B"&amp;TEXT(MIN(9,ROUND(L121,0)),"@"),"A"&amp;TEXT(MIN(9,ROUND(1/L121,0)),"@")),"")</f>
        <v/>
      </c>
      <c r="M132" s="6"/>
      <c r="N132" s="113"/>
    </row>
    <row r="133" spans="1:14" hidden="1" outlineLevel="1" x14ac:dyDescent="0.25">
      <c r="A133" s="132"/>
      <c r="B133" s="242">
        <v>10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4">
        <v>1</v>
      </c>
      <c r="M133" s="133"/>
      <c r="N133" s="134"/>
    </row>
  </sheetData>
  <sheetProtection sheet="1" objects="1" scenarios="1" selectLockedCells="1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9" priority="16">
      <formula>ISBLANK($B$17)</formula>
    </cfRule>
  </conditionalFormatting>
  <conditionalFormatting sqref="B6:N15">
    <cfRule type="expression" dxfId="38" priority="32">
      <formula>$B6&lt;&gt;""</formula>
    </cfRule>
  </conditionalFormatting>
  <conditionalFormatting sqref="C77:I77 N77 A79:A86">
    <cfRule type="cellIs" dxfId="37" priority="2" operator="equal">
      <formula>"n/a"</formula>
    </cfRule>
  </conditionalFormatting>
  <conditionalFormatting sqref="C91:L100">
    <cfRule type="cellIs" dxfId="36" priority="14" operator="equal">
      <formula>0</formula>
    </cfRule>
  </conditionalFormatting>
  <conditionalFormatting sqref="C102:L111">
    <cfRule type="cellIs" dxfId="3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3" priority="4" operator="notEqual">
      <formula>0</formula>
    </cfRule>
  </conditionalFormatting>
  <conditionalFormatting sqref="G17">
    <cfRule type="expression" dxfId="32" priority="13">
      <formula>ISBLANK($G$17)</formula>
    </cfRule>
  </conditionalFormatting>
  <conditionalFormatting sqref="K21:L65">
    <cfRule type="expression" dxfId="31" priority="8">
      <formula>AND($A21&gt;0,OR($K21="",$L21=""))</formula>
    </cfRule>
    <cfRule type="expression" dxfId="30" priority="9">
      <formula>($A21=0)</formula>
    </cfRule>
  </conditionalFormatting>
  <conditionalFormatting sqref="K27:L27">
    <cfRule type="cellIs" dxfId="29" priority="3" operator="equal">
      <formula>""" """</formula>
    </cfRule>
  </conditionalFormatting>
  <conditionalFormatting sqref="M17">
    <cfRule type="expression" dxfId="28" priority="17">
      <formula>$M$17&gt;$K$17</formula>
    </cfRule>
  </conditionalFormatting>
  <conditionalFormatting sqref="M21:M65">
    <cfRule type="cellIs" dxfId="27" priority="18" operator="greaterThan">
      <formula>3</formula>
    </cfRule>
    <cfRule type="cellIs" dxfId="26" priority="19" operator="equal">
      <formula>3</formula>
    </cfRule>
    <cfRule type="cellIs" dxfId="25" priority="20" operator="equal">
      <formula>2</formula>
    </cfRule>
    <cfRule type="cellIs" dxfId="24" priority="21" operator="equal">
      <formula>1</formula>
    </cfRule>
  </conditionalFormatting>
  <conditionalFormatting sqref="N91:P100">
    <cfRule type="cellIs" dxfId="2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2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1" priority="35" operator="equal">
      <formula>0</formula>
    </cfRule>
  </conditionalFormatting>
  <conditionalFormatting sqref="R81:R88 S82:S88 T83:T88 U84:U88 V85:V88 W86:W88">
    <cfRule type="cellIs" dxfId="2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9" priority="24" operator="notEqual">
      <formula>0</formula>
    </cfRule>
  </conditionalFormatting>
  <dataValidations count="3">
    <dataValidation type="list" allowBlank="1" showInputMessage="1" showErrorMessage="1" sqref="K21:K65 K74" xr:uid="{00000000-0002-0000-1500-000000000000}">
      <formula1>$O$19:$O$20</formula1>
      <formula2>0</formula2>
    </dataValidation>
    <dataValidation type="whole" allowBlank="1" showInputMessage="1" showErrorMessage="1" sqref="M66 M74" xr:uid="{00000000-0002-0000-1500-000001000000}">
      <formula1>1</formula1>
      <formula2>9</formula2>
    </dataValidation>
    <dataValidation type="decimal" allowBlank="1" showInputMessage="1" showErrorMessage="1" sqref="L21:L65" xr:uid="{00000000-0002-0000-1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MJ148"/>
  <sheetViews>
    <sheetView zoomScale="110" zoomScaleNormal="110" workbookViewId="0">
      <selection activeCell="A3" sqref="A3"/>
    </sheetView>
  </sheetViews>
  <sheetFormatPr defaultColWidth="9.08984375" defaultRowHeight="12.5" outlineLevelCol="1" x14ac:dyDescent="0.25"/>
  <cols>
    <col min="1" max="1" width="5.7265625" style="255" customWidth="1"/>
    <col min="2" max="11" width="4.81640625" style="255" customWidth="1"/>
    <col min="12" max="12" width="5.7265625" style="255" customWidth="1"/>
    <col min="13" max="22" width="4.81640625" style="255" customWidth="1"/>
    <col min="23" max="23" width="5" style="255" customWidth="1"/>
    <col min="24" max="33" width="4.81640625" style="255" hidden="1" customWidth="1" outlineLevel="1"/>
    <col min="34" max="34" width="5.7265625" style="255" hidden="1" customWidth="1" outlineLevel="1"/>
    <col min="35" max="44" width="4.81640625" style="255" hidden="1" customWidth="1" outlineLevel="1"/>
    <col min="45" max="45" width="9.08984375" style="255" collapsed="1"/>
    <col min="46" max="1024" width="9.08984375" style="255"/>
  </cols>
  <sheetData>
    <row r="1" spans="1:44" ht="18" x14ac:dyDescent="0.4">
      <c r="A1" s="256" t="s">
        <v>122</v>
      </c>
      <c r="B1" s="257"/>
      <c r="C1" s="257"/>
      <c r="F1" s="258" t="s">
        <v>123</v>
      </c>
    </row>
    <row r="2" spans="1:44" s="3" customFormat="1" ht="13" x14ac:dyDescent="0.3">
      <c r="B2" s="4"/>
      <c r="F2" s="3" t="s">
        <v>124</v>
      </c>
    </row>
    <row r="3" spans="1:44" s="3" customFormat="1" ht="13" x14ac:dyDescent="0.3">
      <c r="A3" s="4"/>
      <c r="B3" s="4"/>
    </row>
    <row r="4" spans="1:44" s="3" customFormat="1" ht="13" x14ac:dyDescent="0.3">
      <c r="A4" s="4"/>
      <c r="B4" s="4"/>
      <c r="N4" s="259">
        <f>Summary!B7</f>
        <v>5</v>
      </c>
      <c r="O4" s="3" t="s">
        <v>125</v>
      </c>
    </row>
    <row r="5" spans="1:44" s="3" customFormat="1" ht="13" x14ac:dyDescent="0.3">
      <c r="A5" s="4"/>
      <c r="B5" s="3" t="s">
        <v>126</v>
      </c>
      <c r="N5" s="259">
        <f>Summary!B5</f>
        <v>3</v>
      </c>
      <c r="O5" s="260" t="s">
        <v>127</v>
      </c>
      <c r="X5" s="3" t="s">
        <v>128</v>
      </c>
    </row>
    <row r="7" spans="1:44" ht="13" x14ac:dyDescent="0.3">
      <c r="A7" s="261" t="s">
        <v>129</v>
      </c>
      <c r="B7" s="337" t="s">
        <v>130</v>
      </c>
      <c r="C7" s="337"/>
      <c r="D7" s="337"/>
      <c r="E7" s="337"/>
      <c r="F7" s="337"/>
      <c r="G7" s="337"/>
      <c r="H7" s="337"/>
      <c r="I7" s="337"/>
      <c r="J7" s="262"/>
      <c r="K7" s="262"/>
      <c r="L7" s="263">
        <v>1</v>
      </c>
      <c r="M7" s="336" t="str">
        <f ca="1">INDIRECT(ADDRESS(17,2,1,1,"in"&amp;TEXT(L7,"@")))</f>
        <v>Participant 1</v>
      </c>
      <c r="N7" s="336"/>
      <c r="O7" s="336"/>
      <c r="P7" s="336"/>
      <c r="Q7" s="336"/>
      <c r="R7" s="336"/>
      <c r="S7" s="264">
        <f ca="1">INDIRECT(ADDRESS(17,6,1,1,"in"&amp;TEXT(L7,"@")))</f>
        <v>1</v>
      </c>
      <c r="T7" s="265"/>
      <c r="U7" s="335">
        <f ca="1">INDIRECT(ADDRESS(17,7,1,1,"in"&amp;TEXT(L7,"@")))</f>
        <v>0</v>
      </c>
      <c r="V7" s="335"/>
      <c r="X7" s="262" t="s">
        <v>131</v>
      </c>
      <c r="Y7" s="262"/>
      <c r="Z7" s="262"/>
      <c r="AA7" s="262"/>
      <c r="AB7" s="262"/>
      <c r="AC7" s="266" t="s">
        <v>132</v>
      </c>
      <c r="AD7" s="262">
        <f ca="1">SUM(w_p1,w_p2,w_p3,w_p4,w_p5,w_p6,w_p7,w_p8,w_p9,w_p10,w_p11,w_p12,w_p13,w_p14,w_p15,w_p16,w_p17,w_p18,w_p19,w_p20)</f>
        <v>5</v>
      </c>
      <c r="AE7" s="262"/>
      <c r="AF7" s="262"/>
      <c r="AG7" s="262"/>
      <c r="AH7" s="263"/>
      <c r="AI7" s="336"/>
      <c r="AJ7" s="336"/>
      <c r="AK7" s="336"/>
      <c r="AL7" s="336"/>
      <c r="AM7" s="336"/>
      <c r="AN7" s="336"/>
      <c r="AO7" s="267">
        <f ca="1">IF(L7&gt;$N$4,0,IF(S7=0,1,S7))</f>
        <v>1</v>
      </c>
      <c r="AP7" s="265"/>
      <c r="AQ7" s="335"/>
      <c r="AR7" s="335"/>
    </row>
    <row r="8" spans="1:44" x14ac:dyDescent="0.25">
      <c r="B8" s="268">
        <v>1</v>
      </c>
      <c r="C8" s="268">
        <v>2</v>
      </c>
      <c r="D8" s="268">
        <v>3</v>
      </c>
      <c r="E8" s="268">
        <v>4</v>
      </c>
      <c r="F8" s="268">
        <v>5</v>
      </c>
      <c r="G8" s="268">
        <v>6</v>
      </c>
      <c r="H8" s="268">
        <v>7</v>
      </c>
      <c r="I8" s="268">
        <v>8</v>
      </c>
      <c r="J8" s="268">
        <v>9</v>
      </c>
      <c r="K8" s="268">
        <v>10</v>
      </c>
      <c r="M8" s="268">
        <v>1</v>
      </c>
      <c r="N8" s="268">
        <v>2</v>
      </c>
      <c r="O8" s="268">
        <v>3</v>
      </c>
      <c r="P8" s="268">
        <v>4</v>
      </c>
      <c r="Q8" s="268">
        <v>5</v>
      </c>
      <c r="R8" s="268">
        <v>6</v>
      </c>
      <c r="S8" s="268">
        <v>7</v>
      </c>
      <c r="T8" s="268">
        <v>8</v>
      </c>
      <c r="U8" s="255">
        <v>9</v>
      </c>
      <c r="V8" s="255">
        <v>10</v>
      </c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I8" s="268"/>
      <c r="AJ8" s="268"/>
      <c r="AK8" s="268"/>
      <c r="AL8" s="268"/>
      <c r="AM8" s="268"/>
      <c r="AN8" s="268"/>
      <c r="AO8" s="268"/>
      <c r="AP8" s="268"/>
    </row>
    <row r="9" spans="1:44" x14ac:dyDescent="0.25">
      <c r="A9" s="255">
        <v>1</v>
      </c>
      <c r="B9" s="247"/>
      <c r="C9" s="269">
        <f t="shared" ref="C9:K9" ca="1" si="0">IF((C$8&gt;$N$5)+($A9&gt;$N$5),0,EXP(Y9))</f>
        <v>1.7826024579660034</v>
      </c>
      <c r="D9" s="269">
        <f t="shared" ca="1" si="0"/>
        <v>0.83255320740187311</v>
      </c>
      <c r="E9" s="269">
        <f t="shared" si="0"/>
        <v>0</v>
      </c>
      <c r="F9" s="269">
        <f t="shared" si="0"/>
        <v>0</v>
      </c>
      <c r="G9" s="269">
        <f t="shared" si="0"/>
        <v>0</v>
      </c>
      <c r="H9" s="269">
        <f t="shared" si="0"/>
        <v>0</v>
      </c>
      <c r="I9" s="269">
        <f t="shared" si="0"/>
        <v>0</v>
      </c>
      <c r="J9" s="269">
        <f t="shared" si="0"/>
        <v>0</v>
      </c>
      <c r="K9" s="269">
        <f t="shared" si="0"/>
        <v>0</v>
      </c>
      <c r="L9" s="255">
        <v>1</v>
      </c>
      <c r="M9" s="270">
        <f t="array" ref="M9:V18">Matrix1</f>
        <v>1</v>
      </c>
      <c r="N9" s="271">
        <v>3</v>
      </c>
      <c r="O9" s="271">
        <v>1</v>
      </c>
      <c r="P9" s="271">
        <v>0</v>
      </c>
      <c r="Q9" s="271">
        <v>0</v>
      </c>
      <c r="R9" s="271">
        <v>0</v>
      </c>
      <c r="S9" s="271">
        <v>0</v>
      </c>
      <c r="T9" s="271">
        <v>0</v>
      </c>
      <c r="U9" s="271">
        <v>0</v>
      </c>
      <c r="V9" s="271">
        <v>0</v>
      </c>
      <c r="X9" s="247"/>
      <c r="Y9" s="269">
        <f t="shared" ref="Y9:AG9" ca="1" si="1">SUM(w_p1*AJ9,w_p2*Y22,w_p3*AJ22,w_p4*Y35,w_p5*AJ35,w_p6*Y48,w_p7*AJ48,w_p8*Y61,w_p9*AJ61,w_p10*Y74,w_p11*AJ74,w_p12*Y87,w_p13*AJ87,w_p14*Y100,w_p15*AJ100,w_p16*Y113,w_p17*AJ113,w_p18*Y126,w_p19*AJ126,w_p20*Y139)/$AD$7</f>
        <v>0.57807435157923293</v>
      </c>
      <c r="Z9" s="269">
        <f t="shared" ca="1" si="1"/>
        <v>-0.18325814637483101</v>
      </c>
      <c r="AA9" s="269" t="e">
        <f t="shared" ca="1" si="1"/>
        <v>#VALUE!</v>
      </c>
      <c r="AB9" s="269" t="e">
        <f t="shared" ca="1" si="1"/>
        <v>#VALUE!</v>
      </c>
      <c r="AC9" s="269" t="e">
        <f t="shared" ca="1" si="1"/>
        <v>#VALUE!</v>
      </c>
      <c r="AD9" s="269" t="e">
        <f t="shared" ca="1" si="1"/>
        <v>#VALUE!</v>
      </c>
      <c r="AE9" s="269" t="e">
        <f t="shared" ca="1" si="1"/>
        <v>#VALUE!</v>
      </c>
      <c r="AF9" s="269" t="e">
        <f t="shared" ca="1" si="1"/>
        <v>#VALUE!</v>
      </c>
      <c r="AG9" s="269" t="e">
        <f t="shared" ca="1" si="1"/>
        <v>#VALUE!</v>
      </c>
      <c r="AI9" s="272"/>
      <c r="AJ9" s="273">
        <f>IF(N9=0,0,LN(N9))</f>
        <v>1.0986122886681098</v>
      </c>
      <c r="AK9" s="273">
        <f t="shared" ref="AK9:AR10" si="2">IF(O9=0,"",LN(O9))</f>
        <v>0</v>
      </c>
      <c r="AL9" s="273" t="str">
        <f t="shared" si="2"/>
        <v/>
      </c>
      <c r="AM9" s="273" t="str">
        <f t="shared" si="2"/>
        <v/>
      </c>
      <c r="AN9" s="273" t="str">
        <f t="shared" si="2"/>
        <v/>
      </c>
      <c r="AO9" s="273" t="str">
        <f t="shared" si="2"/>
        <v/>
      </c>
      <c r="AP9" s="273" t="str">
        <f t="shared" si="2"/>
        <v/>
      </c>
      <c r="AQ9" s="273" t="str">
        <f t="shared" si="2"/>
        <v/>
      </c>
      <c r="AR9" s="273" t="str">
        <f t="shared" si="2"/>
        <v/>
      </c>
    </row>
    <row r="10" spans="1:44" x14ac:dyDescent="0.25">
      <c r="A10" s="255">
        <v>2</v>
      </c>
      <c r="B10" s="269">
        <f t="shared" ref="B10:B18" ca="1" si="3">IF(($A10&gt;$N$5)+(B$8&gt;$N$5),0,1/INDEX(m_p0,B$8,$A10))</f>
        <v>0.56097757272309978</v>
      </c>
      <c r="C10" s="247"/>
      <c r="D10" s="269">
        <f t="shared" ref="D10:K10" ca="1" si="4">IF((D$8&gt;$N$5)+($A10&gt;$N$5),0,EXP(Z10))</f>
        <v>0.60836434189320576</v>
      </c>
      <c r="E10" s="269">
        <f t="shared" si="4"/>
        <v>0</v>
      </c>
      <c r="F10" s="269">
        <f t="shared" si="4"/>
        <v>0</v>
      </c>
      <c r="G10" s="269">
        <f t="shared" si="4"/>
        <v>0</v>
      </c>
      <c r="H10" s="269">
        <f t="shared" si="4"/>
        <v>0</v>
      </c>
      <c r="I10" s="269">
        <f t="shared" si="4"/>
        <v>0</v>
      </c>
      <c r="J10" s="269">
        <f t="shared" si="4"/>
        <v>0</v>
      </c>
      <c r="K10" s="269">
        <f t="shared" si="4"/>
        <v>0</v>
      </c>
      <c r="L10" s="255">
        <v>2</v>
      </c>
      <c r="M10" s="271">
        <v>0.33333333333333331</v>
      </c>
      <c r="N10" s="270">
        <v>1</v>
      </c>
      <c r="O10" s="271">
        <v>0.33333333333333331</v>
      </c>
      <c r="P10" s="271">
        <v>0</v>
      </c>
      <c r="Q10" s="271">
        <v>0</v>
      </c>
      <c r="R10" s="271">
        <v>0</v>
      </c>
      <c r="S10" s="271">
        <v>0</v>
      </c>
      <c r="T10" s="271">
        <v>0</v>
      </c>
      <c r="U10" s="271">
        <v>0</v>
      </c>
      <c r="V10" s="271">
        <v>0</v>
      </c>
      <c r="X10" s="269"/>
      <c r="Y10" s="247"/>
      <c r="Z10" s="269">
        <f t="shared" ref="Z10:AG10" ca="1" si="5">SUM(w_p1*AK10,w_p2*Z23,w_p3*AK23,w_p4*Z36,w_p5*AK36,w_p6*Z49,w_p7*AK49,w_p8*Z62,w_p9*AK62,w_p10*Z75,w_p11*AK75,w_p12*Z88,w_p13*AK88,w_p14*Z101,w_p15*AK101,w_p16*Z114,w_p17*AK114,w_p18*Z127,w_p19*AK127,w_p20*Z140)/$AD$7</f>
        <v>-0.49698132995760008</v>
      </c>
      <c r="AA10" s="269" t="e">
        <f t="shared" ca="1" si="5"/>
        <v>#VALUE!</v>
      </c>
      <c r="AB10" s="269" t="e">
        <f t="shared" ca="1" si="5"/>
        <v>#VALUE!</v>
      </c>
      <c r="AC10" s="269" t="e">
        <f t="shared" ca="1" si="5"/>
        <v>#VALUE!</v>
      </c>
      <c r="AD10" s="269" t="e">
        <f t="shared" ca="1" si="5"/>
        <v>#VALUE!</v>
      </c>
      <c r="AE10" s="269" t="e">
        <f t="shared" ca="1" si="5"/>
        <v>#VALUE!</v>
      </c>
      <c r="AF10" s="269" t="e">
        <f t="shared" ca="1" si="5"/>
        <v>#VALUE!</v>
      </c>
      <c r="AG10" s="269" t="e">
        <f t="shared" ca="1" si="5"/>
        <v>#VALUE!</v>
      </c>
      <c r="AI10" s="273"/>
      <c r="AJ10" s="272"/>
      <c r="AK10" s="273">
        <f t="shared" si="2"/>
        <v>-1.0986122886681098</v>
      </c>
      <c r="AL10" s="273" t="str">
        <f t="shared" si="2"/>
        <v/>
      </c>
      <c r="AM10" s="273" t="str">
        <f t="shared" si="2"/>
        <v/>
      </c>
      <c r="AN10" s="273" t="str">
        <f t="shared" si="2"/>
        <v/>
      </c>
      <c r="AO10" s="273" t="str">
        <f t="shared" si="2"/>
        <v/>
      </c>
      <c r="AP10" s="273" t="str">
        <f t="shared" si="2"/>
        <v/>
      </c>
      <c r="AQ10" s="273" t="str">
        <f t="shared" si="2"/>
        <v/>
      </c>
      <c r="AR10" s="273" t="str">
        <f t="shared" si="2"/>
        <v/>
      </c>
    </row>
    <row r="11" spans="1:44" x14ac:dyDescent="0.25">
      <c r="A11" s="255">
        <v>3</v>
      </c>
      <c r="B11" s="269">
        <f t="shared" ca="1" si="3"/>
        <v>1.2011244339814313</v>
      </c>
      <c r="C11" s="269">
        <f t="shared" ref="C11:C18" ca="1" si="6">IF(($A11&gt;$N$5)+(C$8&gt;$N$5),0,1/INDEX(m_p0,C$8,$A11))</f>
        <v>1.6437518295172258</v>
      </c>
      <c r="D11" s="247"/>
      <c r="E11" s="269">
        <f t="shared" ref="E11:K11" si="7">IF((E$8&gt;$N$5)+($A11&gt;$N$5),0,EXP(AA11))</f>
        <v>0</v>
      </c>
      <c r="F11" s="269">
        <f t="shared" si="7"/>
        <v>0</v>
      </c>
      <c r="G11" s="269">
        <f t="shared" si="7"/>
        <v>0</v>
      </c>
      <c r="H11" s="269">
        <f t="shared" si="7"/>
        <v>0</v>
      </c>
      <c r="I11" s="269">
        <f t="shared" si="7"/>
        <v>0</v>
      </c>
      <c r="J11" s="269">
        <f t="shared" si="7"/>
        <v>0</v>
      </c>
      <c r="K11" s="269">
        <f t="shared" si="7"/>
        <v>0</v>
      </c>
      <c r="L11" s="255">
        <v>3</v>
      </c>
      <c r="M11" s="271">
        <v>1</v>
      </c>
      <c r="N11" s="271">
        <v>3</v>
      </c>
      <c r="O11" s="270">
        <v>1</v>
      </c>
      <c r="P11" s="271">
        <v>0</v>
      </c>
      <c r="Q11" s="271">
        <v>0</v>
      </c>
      <c r="R11" s="271">
        <v>0</v>
      </c>
      <c r="S11" s="271">
        <v>0</v>
      </c>
      <c r="T11" s="271">
        <v>0</v>
      </c>
      <c r="U11" s="271">
        <v>0</v>
      </c>
      <c r="V11" s="271">
        <v>0</v>
      </c>
      <c r="X11" s="269"/>
      <c r="Y11" s="269"/>
      <c r="Z11" s="247"/>
      <c r="AA11" s="269" t="e">
        <f t="shared" ref="AA11:AG11" ca="1" si="8">SUM(w_p1*AL11,w_p2*AA24,w_p3*AL24,w_p4*AA37,w_p5*AL37,w_p6*AA50,w_p7*AL50,w_p8*AA63,w_p9*AL63,w_p10*AA76,w_p11*AL76,w_p12*AA89,w_p13*AL89,w_p14*AA102,w_p15*AL102,w_p16*AA115,w_p17*AL115,w_p18*AA128,w_p19*AL128,w_p20*AA141)/$AD$7</f>
        <v>#VALUE!</v>
      </c>
      <c r="AB11" s="269" t="e">
        <f t="shared" ca="1" si="8"/>
        <v>#VALUE!</v>
      </c>
      <c r="AC11" s="269" t="e">
        <f t="shared" ca="1" si="8"/>
        <v>#VALUE!</v>
      </c>
      <c r="AD11" s="269" t="e">
        <f t="shared" ca="1" si="8"/>
        <v>#VALUE!</v>
      </c>
      <c r="AE11" s="269" t="e">
        <f t="shared" ca="1" si="8"/>
        <v>#VALUE!</v>
      </c>
      <c r="AF11" s="269" t="e">
        <f t="shared" ca="1" si="8"/>
        <v>#VALUE!</v>
      </c>
      <c r="AG11" s="269" t="e">
        <f t="shared" ca="1" si="8"/>
        <v>#VALUE!</v>
      </c>
      <c r="AI11" s="273"/>
      <c r="AJ11" s="273"/>
      <c r="AK11" s="272"/>
      <c r="AL11" s="273" t="str">
        <f t="shared" ref="AL11:AR11" si="9">IF(P11=0,"",LN(P11))</f>
        <v/>
      </c>
      <c r="AM11" s="273" t="str">
        <f t="shared" si="9"/>
        <v/>
      </c>
      <c r="AN11" s="273" t="str">
        <f t="shared" si="9"/>
        <v/>
      </c>
      <c r="AO11" s="273" t="str">
        <f t="shared" si="9"/>
        <v/>
      </c>
      <c r="AP11" s="273" t="str">
        <f t="shared" si="9"/>
        <v/>
      </c>
      <c r="AQ11" s="273" t="str">
        <f t="shared" si="9"/>
        <v/>
      </c>
      <c r="AR11" s="273" t="str">
        <f t="shared" si="9"/>
        <v/>
      </c>
    </row>
    <row r="12" spans="1:44" x14ac:dyDescent="0.25">
      <c r="A12" s="255">
        <v>4</v>
      </c>
      <c r="B12" s="269">
        <f t="shared" si="3"/>
        <v>0</v>
      </c>
      <c r="C12" s="269">
        <f t="shared" si="6"/>
        <v>0</v>
      </c>
      <c r="D12" s="269">
        <f t="shared" ref="D12:D18" si="10">IF(($A12&gt;$N$5)+(D$8&gt;$N$5),0,1/INDEX(m_p0,D$8,$A12))</f>
        <v>0</v>
      </c>
      <c r="E12" s="247"/>
      <c r="F12" s="269">
        <f t="shared" ref="F12:K12" si="11">IF((F$8&gt;$N$5)+($A12&gt;$N$5),0,EXP(AB12))</f>
        <v>0</v>
      </c>
      <c r="G12" s="269">
        <f t="shared" si="11"/>
        <v>0</v>
      </c>
      <c r="H12" s="269">
        <f t="shared" si="11"/>
        <v>0</v>
      </c>
      <c r="I12" s="269">
        <f t="shared" si="11"/>
        <v>0</v>
      </c>
      <c r="J12" s="269">
        <f t="shared" si="11"/>
        <v>0</v>
      </c>
      <c r="K12" s="269">
        <f t="shared" si="11"/>
        <v>0</v>
      </c>
      <c r="L12" s="255">
        <v>4</v>
      </c>
      <c r="M12" s="271">
        <v>0</v>
      </c>
      <c r="N12" s="271">
        <v>0</v>
      </c>
      <c r="O12" s="271">
        <v>0</v>
      </c>
      <c r="P12" s="270">
        <v>1</v>
      </c>
      <c r="Q12" s="271">
        <v>0</v>
      </c>
      <c r="R12" s="271">
        <v>0</v>
      </c>
      <c r="S12" s="271">
        <v>0</v>
      </c>
      <c r="T12" s="271">
        <v>0</v>
      </c>
      <c r="U12" s="271">
        <v>0</v>
      </c>
      <c r="V12" s="271">
        <v>0</v>
      </c>
      <c r="X12" s="269"/>
      <c r="Y12" s="269"/>
      <c r="Z12" s="269"/>
      <c r="AA12" s="247"/>
      <c r="AB12" s="269" t="e">
        <f t="shared" ref="AB12:AG12" ca="1" si="12">SUM(w_p1*AM12,w_p2*AB25,w_p3*AM25,w_p4*AB38,w_p5*AM38,w_p6*AB51,w_p7*AM51,w_p8*AB64,w_p9*AM64,w_p10*AB77,w_p11*AM77,w_p12*AB90,w_p13*AM90,w_p14*AB103,w_p15*AM103,w_p16*AB116,w_p17*AM116,w_p18*AB129,w_p19*AM129,w_p20*AB142)/$AD$7</f>
        <v>#VALUE!</v>
      </c>
      <c r="AC12" s="269" t="e">
        <f t="shared" ca="1" si="12"/>
        <v>#VALUE!</v>
      </c>
      <c r="AD12" s="269" t="e">
        <f t="shared" ca="1" si="12"/>
        <v>#VALUE!</v>
      </c>
      <c r="AE12" s="269" t="e">
        <f t="shared" ca="1" si="12"/>
        <v>#VALUE!</v>
      </c>
      <c r="AF12" s="269" t="e">
        <f t="shared" ca="1" si="12"/>
        <v>#VALUE!</v>
      </c>
      <c r="AG12" s="269" t="e">
        <f t="shared" ca="1" si="12"/>
        <v>#VALUE!</v>
      </c>
      <c r="AI12" s="273"/>
      <c r="AJ12" s="273"/>
      <c r="AK12" s="273"/>
      <c r="AL12" s="272"/>
      <c r="AM12" s="273" t="str">
        <f t="shared" ref="AM12:AR12" si="13">IF(Q12=0,"",LN(Q12))</f>
        <v/>
      </c>
      <c r="AN12" s="273" t="str">
        <f t="shared" si="13"/>
        <v/>
      </c>
      <c r="AO12" s="273" t="str">
        <f t="shared" si="13"/>
        <v/>
      </c>
      <c r="AP12" s="273" t="str">
        <f t="shared" si="13"/>
        <v/>
      </c>
      <c r="AQ12" s="273" t="str">
        <f t="shared" si="13"/>
        <v/>
      </c>
      <c r="AR12" s="273" t="str">
        <f t="shared" si="13"/>
        <v/>
      </c>
    </row>
    <row r="13" spans="1:44" x14ac:dyDescent="0.25">
      <c r="A13" s="255">
        <v>5</v>
      </c>
      <c r="B13" s="269">
        <f t="shared" si="3"/>
        <v>0</v>
      </c>
      <c r="C13" s="269">
        <f t="shared" si="6"/>
        <v>0</v>
      </c>
      <c r="D13" s="269">
        <f t="shared" si="10"/>
        <v>0</v>
      </c>
      <c r="E13" s="269">
        <f t="shared" ref="E13:E18" si="14">IF(($A13&gt;$N$5)+(E$8&gt;$N$5),0,1/INDEX(m_p0,E$8,$A13))</f>
        <v>0</v>
      </c>
      <c r="F13" s="247"/>
      <c r="G13" s="269">
        <f>IF((G$8&gt;$N$5)+($A13&gt;$N$5),0,EXP(AC13))</f>
        <v>0</v>
      </c>
      <c r="H13" s="269">
        <f>IF((H$8&gt;$N$5)+($A13&gt;$N$5),0,EXP(AD13))</f>
        <v>0</v>
      </c>
      <c r="I13" s="269">
        <f>IF((I$8&gt;$N$5)+($A13&gt;$N$5),0,EXP(AE13))</f>
        <v>0</v>
      </c>
      <c r="J13" s="269">
        <f>IF((J$8&gt;$N$5)+($A13&gt;$N$5),0,EXP(AF13))</f>
        <v>0</v>
      </c>
      <c r="K13" s="269">
        <f>IF((K$8&gt;$N$5)+($A13&gt;$N$5),0,EXP(AG13))</f>
        <v>0</v>
      </c>
      <c r="L13" s="255">
        <v>5</v>
      </c>
      <c r="M13" s="271">
        <v>0</v>
      </c>
      <c r="N13" s="271">
        <v>0</v>
      </c>
      <c r="O13" s="271">
        <v>0</v>
      </c>
      <c r="P13" s="271">
        <v>0</v>
      </c>
      <c r="Q13" s="270">
        <v>1</v>
      </c>
      <c r="R13" s="271">
        <v>0</v>
      </c>
      <c r="S13" s="271">
        <v>0</v>
      </c>
      <c r="T13" s="271">
        <v>0</v>
      </c>
      <c r="U13" s="271">
        <v>0</v>
      </c>
      <c r="V13" s="271">
        <v>0</v>
      </c>
      <c r="X13" s="269"/>
      <c r="Y13" s="269"/>
      <c r="Z13" s="269"/>
      <c r="AA13" s="269"/>
      <c r="AB13" s="247"/>
      <c r="AC13" s="269" t="e">
        <f ca="1">SUM(w_p1*AN13,w_p2*AC26,w_p3*AN26,w_p4*AC39,w_p5*AN39,w_p6*AC52,w_p7*AN52,w_p8*AC65,w_p9*AN65,w_p10*AC78,w_p11*AN78,w_p12*AC91,w_p13*AN91,w_p14*AC104,w_p15*AN104,w_p16*AC117,w_p17*AN117,w_p18*AC130,w_p19*AN130,w_p20*AC143)/$AD$7</f>
        <v>#VALUE!</v>
      </c>
      <c r="AD13" s="269" t="e">
        <f ca="1">SUM(w_p1*AO13,w_p2*AD26,w_p3*AO26,w_p4*AD39,w_p5*AO39,w_p6*AD52,w_p7*AO52,w_p8*AD65,w_p9*AO65,w_p10*AD78,w_p11*AO78,w_p12*AD91,w_p13*AO91,w_p14*AD104,w_p15*AO104,w_p16*AD117,w_p17*AO117,w_p18*AD130,w_p19*AO130,w_p20*AD143)/$AD$7</f>
        <v>#VALUE!</v>
      </c>
      <c r="AE13" s="269" t="e">
        <f ca="1">SUM(w_p1*AP13,w_p2*AE26,w_p3*AP26,w_p4*AE39,w_p5*AP39,w_p6*AE52,w_p7*AP52,w_p8*AE65,w_p9*AP65,w_p10*AE78,w_p11*AP78,w_p12*AE91,w_p13*AP91,w_p14*AE104,w_p15*AP104,w_p16*AE117,w_p17*AP117,w_p18*AE130,w_p19*AP130,w_p20*AE143)/$AD$7</f>
        <v>#VALUE!</v>
      </c>
      <c r="AF13" s="269" t="e">
        <f ca="1">SUM(w_p1*AQ13,w_p2*AF26,w_p3*AQ26,w_p4*AF39,w_p5*AQ39,w_p6*AF52,w_p7*AQ52,w_p8*AF65,w_p9*AQ65,w_p10*AF78,w_p11*AQ78,w_p12*AF91,w_p13*AQ91,w_p14*AF104,w_p15*AQ104,w_p16*AF117,w_p17*AQ117,w_p18*AF130,w_p19*AQ130,w_p20*AF143)/$AD$7</f>
        <v>#VALUE!</v>
      </c>
      <c r="AG13" s="269" t="e">
        <f ca="1">SUM(w_p1*AR13,w_p2*AG26,w_p3*AR26,w_p4*AG39,w_p5*AR39,w_p6*AG52,w_p7*AR52,w_p8*AG65,w_p9*AR65,w_p10*AG78,w_p11*AR78,w_p12*AG91,w_p13*AR91,w_p14*AG104,w_p15*AR104,w_p16*AG117,w_p17*AR117,w_p18*AG130,w_p19*AR130,w_p20*AG143)/$AD$7</f>
        <v>#VALUE!</v>
      </c>
      <c r="AI13" s="273"/>
      <c r="AJ13" s="273"/>
      <c r="AK13" s="273"/>
      <c r="AL13" s="273"/>
      <c r="AM13" s="272"/>
      <c r="AN13" s="273" t="str">
        <f>IF(R13=0,"",LN(R13))</f>
        <v/>
      </c>
      <c r="AO13" s="273" t="str">
        <f>IF(S13=0,"",LN(S13))</f>
        <v/>
      </c>
      <c r="AP13" s="273" t="str">
        <f>IF(T13=0,"",LN(T13))</f>
        <v/>
      </c>
      <c r="AQ13" s="273" t="str">
        <f>IF(U13=0,"",LN(U13))</f>
        <v/>
      </c>
      <c r="AR13" s="273" t="str">
        <f>IF(V13=0,"",LN(V13))</f>
        <v/>
      </c>
    </row>
    <row r="14" spans="1:44" x14ac:dyDescent="0.25">
      <c r="A14" s="255">
        <v>6</v>
      </c>
      <c r="B14" s="269">
        <f t="shared" si="3"/>
        <v>0</v>
      </c>
      <c r="C14" s="269">
        <f t="shared" si="6"/>
        <v>0</v>
      </c>
      <c r="D14" s="269">
        <f t="shared" si="10"/>
        <v>0</v>
      </c>
      <c r="E14" s="269">
        <f t="shared" si="14"/>
        <v>0</v>
      </c>
      <c r="F14" s="269">
        <f>IF(($A14&gt;$N$5)+(F$8&gt;$N$5),0,1/INDEX(m_p0,F$8,$A14))</f>
        <v>0</v>
      </c>
      <c r="G14" s="247"/>
      <c r="H14" s="269">
        <f>IF((H$8&gt;$N$5)+($A14&gt;$N$5),0,EXP(AD14))</f>
        <v>0</v>
      </c>
      <c r="I14" s="269">
        <f>IF((I$8&gt;$N$5)+($A14&gt;$N$5),0,EXP(AE14))</f>
        <v>0</v>
      </c>
      <c r="J14" s="269">
        <f>IF((J$8&gt;$N$5)+($A14&gt;$N$5),0,EXP(AF14))</f>
        <v>0</v>
      </c>
      <c r="K14" s="269">
        <f>IF((K$8&gt;$N$5)+($A14&gt;$N$5),0,EXP(AG14))</f>
        <v>0</v>
      </c>
      <c r="L14" s="255">
        <v>6</v>
      </c>
      <c r="M14" s="271">
        <v>0</v>
      </c>
      <c r="N14" s="271">
        <v>0</v>
      </c>
      <c r="O14" s="271">
        <v>0</v>
      </c>
      <c r="P14" s="271">
        <v>0</v>
      </c>
      <c r="Q14" s="271">
        <v>0</v>
      </c>
      <c r="R14" s="270">
        <v>1</v>
      </c>
      <c r="S14" s="271">
        <v>0</v>
      </c>
      <c r="T14" s="271">
        <v>0</v>
      </c>
      <c r="U14" s="271">
        <v>0</v>
      </c>
      <c r="V14" s="271">
        <v>0</v>
      </c>
      <c r="X14" s="269"/>
      <c r="Y14" s="269"/>
      <c r="Z14" s="269"/>
      <c r="AA14" s="269"/>
      <c r="AB14" s="269"/>
      <c r="AC14" s="247"/>
      <c r="AD14" s="269" t="e">
        <f ca="1">SUM(w_p1*AO14,w_p2*AD27,w_p3*AO27,w_p4*AD40,w_p5*AO40,w_p6*AD53,w_p7*AO53,w_p8*AD66,w_p9*AO66,w_p10*AD79,w_p11*AO79,w_p12*AD92,w_p13*AO92,w_p14*AD105,w_p15*AO105,w_p16*AD118,w_p17*AO118,w_p18*AD131,w_p19*AO131,w_p20*AD144)/$AD$7</f>
        <v>#VALUE!</v>
      </c>
      <c r="AE14" s="269" t="e">
        <f ca="1">SUM(w_p1*AP14,w_p2*AE27,w_p3*AP27,w_p4*AE40,w_p5*AP40,w_p6*AE53,w_p7*AP53,w_p8*AE66,w_p9*AP66,w_p10*AE79,w_p11*AP79,w_p12*AE92,w_p13*AP92,w_p14*AE105,w_p15*AP105,w_p16*AE118,w_p17*AP118,w_p18*AE131,w_p19*AP131,w_p20*AE144)/$AD$7</f>
        <v>#VALUE!</v>
      </c>
      <c r="AF14" s="269" t="e">
        <f ca="1">SUM(w_p1*AQ14,w_p2*AF27,w_p3*AQ27,w_p4*AF40,w_p5*AQ40,w_p6*AF53,w_p7*AQ53,w_p8*AF66,w_p9*AQ66,w_p10*AF79,w_p11*AQ79,w_p12*AF92,w_p13*AQ92,w_p14*AF105,w_p15*AQ105,w_p16*AF118,w_p17*AQ118,w_p18*AF131,w_p19*AQ131,w_p20*AF144)/$AD$7</f>
        <v>#VALUE!</v>
      </c>
      <c r="AG14" s="269" t="e">
        <f ca="1">SUM(w_p1*AR14,w_p2*AG27,w_p3*AR27,w_p4*AG40,w_p5*AR40,w_p6*AG53,w_p7*AR53,w_p8*AG66,w_p9*AR66,w_p10*AG79,w_p11*AR79,w_p12*AG92,w_p13*AR92,w_p14*AG105,w_p15*AR105,w_p16*AG118,w_p17*AR118,w_p18*AG131,w_p19*AR131,w_p20*AG144)/$AD$7</f>
        <v>#VALUE!</v>
      </c>
      <c r="AI14" s="273"/>
      <c r="AJ14" s="273"/>
      <c r="AK14" s="273"/>
      <c r="AL14" s="273"/>
      <c r="AM14" s="273"/>
      <c r="AN14" s="272"/>
      <c r="AO14" s="273" t="str">
        <f>IF(S14=0,"",LN(S14))</f>
        <v/>
      </c>
      <c r="AP14" s="273" t="str">
        <f>IF(T14=0,"",LN(T14))</f>
        <v/>
      </c>
      <c r="AQ14" s="273" t="str">
        <f>IF(U14=0,"",LN(U14))</f>
        <v/>
      </c>
      <c r="AR14" s="273" t="str">
        <f>IF(V14=0,"",LN(V14))</f>
        <v/>
      </c>
    </row>
    <row r="15" spans="1:44" x14ac:dyDescent="0.25">
      <c r="A15" s="255">
        <v>7</v>
      </c>
      <c r="B15" s="269">
        <f t="shared" si="3"/>
        <v>0</v>
      </c>
      <c r="C15" s="269">
        <f t="shared" si="6"/>
        <v>0</v>
      </c>
      <c r="D15" s="269">
        <f t="shared" si="10"/>
        <v>0</v>
      </c>
      <c r="E15" s="269">
        <f t="shared" si="14"/>
        <v>0</v>
      </c>
      <c r="F15" s="269">
        <f>IF(($A15&gt;$N$5)+(F$8&gt;$N$5),0,1/INDEX(m_p0,F$8,$A15))</f>
        <v>0</v>
      </c>
      <c r="G15" s="269">
        <f>IF(($A15&gt;$N$5)+(G$8&gt;$N$5),0,1/INDEX(m_p0,G$8,$A15))</f>
        <v>0</v>
      </c>
      <c r="H15" s="247"/>
      <c r="I15" s="269">
        <f>IF((I$8&gt;$N$5)+($A15&gt;$N$5),0,EXP(AE15))</f>
        <v>0</v>
      </c>
      <c r="J15" s="269">
        <f>IF((J$8&gt;$N$5)+($A15&gt;$N$5),0,EXP(AF15))</f>
        <v>0</v>
      </c>
      <c r="K15" s="269">
        <f>IF((K$8&gt;$N$5)+($A15&gt;$N$5),0,EXP(AG15))</f>
        <v>0</v>
      </c>
      <c r="L15" s="255">
        <v>7</v>
      </c>
      <c r="M15" s="271">
        <v>0</v>
      </c>
      <c r="N15" s="271">
        <v>0</v>
      </c>
      <c r="O15" s="271">
        <v>0</v>
      </c>
      <c r="P15" s="271">
        <v>0</v>
      </c>
      <c r="Q15" s="271">
        <v>0</v>
      </c>
      <c r="R15" s="271">
        <v>0</v>
      </c>
      <c r="S15" s="270">
        <v>1</v>
      </c>
      <c r="T15" s="271">
        <v>0</v>
      </c>
      <c r="U15" s="271">
        <v>0</v>
      </c>
      <c r="V15" s="271">
        <v>0</v>
      </c>
      <c r="X15" s="269"/>
      <c r="Y15" s="269"/>
      <c r="Z15" s="269"/>
      <c r="AA15" s="269"/>
      <c r="AB15" s="269"/>
      <c r="AC15" s="269"/>
      <c r="AD15" s="247"/>
      <c r="AE15" s="269" t="e">
        <f ca="1">SUM(w_p1*AP15,w_p2*AE28,w_p3*AP28,w_p4*AE41,w_p5*AP41,w_p6*AE54,w_p7*AP54,w_p8*AE67,w_p9*AP67,w_p10*AE80,w_p11*AP80,w_p12*AE93,w_p13*AP93,w_p14*AE106,w_p15*AP106,w_p16*AE119,w_p17*AP119,w_p18*AE132,w_p19*AP132,w_p20*AE145)/$AD$7</f>
        <v>#VALUE!</v>
      </c>
      <c r="AF15" s="269" t="e">
        <f ca="1">SUM(w_p1*AQ15,w_p2*AF28,w_p3*AQ28,w_p4*AF41,w_p5*AQ41,w_p6*AF54,w_p7*AQ54,w_p8*AF67,w_p9*AQ67,w_p10*AF80,w_p11*AQ80,w_p12*AF93,w_p13*AQ93,w_p14*AF106,w_p15*AQ106,w_p16*AF119,w_p17*AQ119,w_p18*AF132,w_p19*AQ132,w_p20*AF145)/$AD$7</f>
        <v>#VALUE!</v>
      </c>
      <c r="AG15" s="269" t="e">
        <f ca="1">SUM(w_p1*AR15,w_p2*AG28,w_p3*AR28,w_p4*AG41,w_p5*AR41,w_p6*AG54,w_p7*AR54,w_p8*AG67,w_p9*AR67,w_p10*AG80,w_p11*AR80,w_p12*AG93,w_p13*AR93,w_p14*AG106,w_p15*AR106,w_p16*AG119,w_p17*AR119,w_p18*AG132,w_p19*AR132,w_p20*AG145)/$AD$7</f>
        <v>#VALUE!</v>
      </c>
      <c r="AI15" s="273"/>
      <c r="AJ15" s="273"/>
      <c r="AK15" s="273"/>
      <c r="AL15" s="273"/>
      <c r="AM15" s="273"/>
      <c r="AN15" s="273"/>
      <c r="AO15" s="272"/>
      <c r="AP15" s="273" t="str">
        <f>IF(T15=0,"",LN(T15))</f>
        <v/>
      </c>
      <c r="AQ15" s="273" t="str">
        <f>IF(U15=0,"",LN(U15))</f>
        <v/>
      </c>
      <c r="AR15" s="273" t="str">
        <f>IF(V15=0,"",LN(V15))</f>
        <v/>
      </c>
    </row>
    <row r="16" spans="1:44" x14ac:dyDescent="0.25">
      <c r="A16" s="255">
        <v>8</v>
      </c>
      <c r="B16" s="269">
        <f t="shared" si="3"/>
        <v>0</v>
      </c>
      <c r="C16" s="269">
        <f t="shared" si="6"/>
        <v>0</v>
      </c>
      <c r="D16" s="269">
        <f t="shared" si="10"/>
        <v>0</v>
      </c>
      <c r="E16" s="269">
        <f t="shared" si="14"/>
        <v>0</v>
      </c>
      <c r="F16" s="269">
        <f>IF(($A16&gt;$N$5)+(F$8&gt;$N$5),0,1/INDEX(m_p0,F$8,$A16))</f>
        <v>0</v>
      </c>
      <c r="G16" s="269">
        <f>IF(($A16&gt;$N$5)+(G$8&gt;$N$5),0,1/INDEX(m_p0,G$8,$A16))</f>
        <v>0</v>
      </c>
      <c r="H16" s="269">
        <f>IF(($A16&gt;$N$5)+(H$8&gt;$N$5),0,1/INDEX(m_p0,H$8,$A16))</f>
        <v>0</v>
      </c>
      <c r="I16" s="247"/>
      <c r="J16" s="269">
        <f>IF((J$8&gt;$N$5)+($A16&gt;$N$5),0,EXP(AF16))</f>
        <v>0</v>
      </c>
      <c r="K16" s="269">
        <f>IF((K$8&gt;$N$5)+($A16&gt;$N$5),0,EXP(AG16))</f>
        <v>0</v>
      </c>
      <c r="L16" s="255">
        <v>8</v>
      </c>
      <c r="M16" s="271">
        <v>0</v>
      </c>
      <c r="N16" s="271">
        <v>0</v>
      </c>
      <c r="O16" s="271">
        <v>0</v>
      </c>
      <c r="P16" s="271">
        <v>0</v>
      </c>
      <c r="Q16" s="271">
        <v>0</v>
      </c>
      <c r="R16" s="271">
        <v>0</v>
      </c>
      <c r="S16" s="271">
        <v>0</v>
      </c>
      <c r="T16" s="270">
        <v>1</v>
      </c>
      <c r="U16" s="271">
        <v>0</v>
      </c>
      <c r="V16" s="271">
        <v>0</v>
      </c>
      <c r="X16" s="269"/>
      <c r="Y16" s="269"/>
      <c r="Z16" s="269"/>
      <c r="AA16" s="269"/>
      <c r="AB16" s="269"/>
      <c r="AC16" s="269"/>
      <c r="AD16" s="269"/>
      <c r="AE16" s="247"/>
      <c r="AF16" s="269" t="e">
        <f ca="1">SUM(w_p1*AQ16,w_p2*AF29,w_p3*AQ29,w_p4*AF42,w_p5*AQ42,w_p6*AF55,w_p7*AQ55,w_p8*AF68,w_p9*AQ68,w_p10*AF81,w_p11*AQ81,w_p12*AF94,w_p13*AQ94,w_p14*AF107,w_p15*AQ107,w_p16*AF120,w_p17*AQ120,w_p18*AF133,w_p19*AQ133,w_p20*AF146)/$AD$7</f>
        <v>#VALUE!</v>
      </c>
      <c r="AG16" s="269" t="e">
        <f ca="1">SUM(w_p1*AR16,w_p2*AG29,w_p3*AR29,w_p4*AG42,w_p5*AR42,w_p6*AG55,w_p7*AR55,w_p8*AG68,w_p9*AR68,w_p10*AG81,w_p11*AR81,w_p12*AG94,w_p13*AR94,w_p14*AG107,w_p15*AR107,w_p16*AG120,w_p17*AR120,w_p18*AG133,w_p19*AR133,w_p20*AG146)/$AD$7</f>
        <v>#VALUE!</v>
      </c>
      <c r="AI16" s="273"/>
      <c r="AJ16" s="273"/>
      <c r="AK16" s="273"/>
      <c r="AL16" s="273"/>
      <c r="AM16" s="273"/>
      <c r="AN16" s="273"/>
      <c r="AO16" s="273"/>
      <c r="AP16" s="272"/>
      <c r="AQ16" s="273" t="str">
        <f>IF(U16=0,"",LN(U16))</f>
        <v/>
      </c>
      <c r="AR16" s="273" t="str">
        <f>IF(V16=0,"",LN(V16))</f>
        <v/>
      </c>
    </row>
    <row r="17" spans="1:44" x14ac:dyDescent="0.25">
      <c r="A17" s="255">
        <v>9</v>
      </c>
      <c r="B17" s="269">
        <f t="shared" si="3"/>
        <v>0</v>
      </c>
      <c r="C17" s="269">
        <f t="shared" si="6"/>
        <v>0</v>
      </c>
      <c r="D17" s="269">
        <f t="shared" si="10"/>
        <v>0</v>
      </c>
      <c r="E17" s="269">
        <f t="shared" si="14"/>
        <v>0</v>
      </c>
      <c r="F17" s="269">
        <f>IF(($A17&gt;$N$5)+(F$8&gt;$N$5),0,1/INDEX(m_p0,F$8,$A17))</f>
        <v>0</v>
      </c>
      <c r="G17" s="269">
        <f>IF(($A17&gt;$N$5)+(G$8&gt;$N$5),0,1/INDEX(m_p0,G$8,$A17))</f>
        <v>0</v>
      </c>
      <c r="H17" s="269">
        <f>IF(($A17&gt;$N$5)+(H$8&gt;$N$5),0,1/INDEX(m_p0,H$8,$A17))</f>
        <v>0</v>
      </c>
      <c r="I17" s="269">
        <f>IF(($A17&gt;$N$5)+(I$8&gt;$N$5),0,1/INDEX(m_p0,I$8,$A17))</f>
        <v>0</v>
      </c>
      <c r="J17" s="274"/>
      <c r="K17" s="269">
        <f>IF((K$8&gt;$N$5)+($A17&gt;$N$5),0,EXP(AG17))</f>
        <v>0</v>
      </c>
      <c r="L17" s="255">
        <v>9</v>
      </c>
      <c r="M17" s="271">
        <v>0</v>
      </c>
      <c r="N17" s="271">
        <v>0</v>
      </c>
      <c r="O17" s="271">
        <v>0</v>
      </c>
      <c r="P17" s="271">
        <v>0</v>
      </c>
      <c r="Q17" s="271">
        <v>0</v>
      </c>
      <c r="R17" s="271">
        <v>0</v>
      </c>
      <c r="S17" s="271">
        <v>0</v>
      </c>
      <c r="T17" s="271">
        <v>0</v>
      </c>
      <c r="U17" s="270">
        <v>1</v>
      </c>
      <c r="V17" s="271">
        <v>0</v>
      </c>
      <c r="X17" s="269"/>
      <c r="Y17" s="269"/>
      <c r="Z17" s="269"/>
      <c r="AA17" s="269"/>
      <c r="AB17" s="269"/>
      <c r="AC17" s="269"/>
      <c r="AD17" s="269"/>
      <c r="AE17" s="269"/>
      <c r="AF17" s="274"/>
      <c r="AG17" s="269" t="e">
        <f ca="1">SUM(w_p1*AR17,w_p2*AG30,w_p3*AR30,w_p4*AG43,w_p5*AR43,w_p6*AG56,w_p7*AR56,w_p8*AG69,w_p9*AR69,w_p10*AG82,w_p11*AR82,w_p12*AG95,w_p13*AR95,w_p14*AG108,w_p15*AR108,w_p16*AG121,w_p17*AR121,w_p18*AG134,w_p19*AR134,w_p20*AG147)/$AD$7</f>
        <v>#VALUE!</v>
      </c>
      <c r="AI17" s="273"/>
      <c r="AJ17" s="273"/>
      <c r="AK17" s="273"/>
      <c r="AL17" s="273"/>
      <c r="AM17" s="273"/>
      <c r="AN17" s="273"/>
      <c r="AO17" s="273"/>
      <c r="AP17" s="273"/>
      <c r="AQ17" s="272"/>
      <c r="AR17" s="273" t="str">
        <f>IF(V17=0,"",LN(V17))</f>
        <v/>
      </c>
    </row>
    <row r="18" spans="1:44" x14ac:dyDescent="0.25">
      <c r="A18" s="255">
        <v>10</v>
      </c>
      <c r="B18" s="269">
        <f t="shared" si="3"/>
        <v>0</v>
      </c>
      <c r="C18" s="269">
        <f t="shared" si="6"/>
        <v>0</v>
      </c>
      <c r="D18" s="269">
        <f t="shared" si="10"/>
        <v>0</v>
      </c>
      <c r="E18" s="269">
        <f t="shared" si="14"/>
        <v>0</v>
      </c>
      <c r="F18" s="269">
        <f>IF(($A18&gt;$N$5)+(F$8&gt;$N$5),0,1/INDEX(m_p0,F$8,$A18))</f>
        <v>0</v>
      </c>
      <c r="G18" s="269">
        <f>IF(($A18&gt;$N$5)+(G$8&gt;$N$5),0,1/INDEX(m_p0,G$8,$A18))</f>
        <v>0</v>
      </c>
      <c r="H18" s="269">
        <f>IF(($A18&gt;$N$5)+(H$8&gt;$N$5),0,1/INDEX(m_p0,H$8,$A18))</f>
        <v>0</v>
      </c>
      <c r="I18" s="269">
        <f>IF(($A18&gt;$N$5)+(I$8&gt;$N$5),0,1/INDEX(m_p0,I$8,$A18))</f>
        <v>0</v>
      </c>
      <c r="J18" s="269">
        <f>IF(($A18&gt;$N$5)+(J$8&gt;$N$5),0,1/INDEX(m_p0,J$8,$A18))</f>
        <v>0</v>
      </c>
      <c r="K18" s="274"/>
      <c r="L18" s="255">
        <v>10</v>
      </c>
      <c r="M18" s="271">
        <v>0</v>
      </c>
      <c r="N18" s="271">
        <v>0</v>
      </c>
      <c r="O18" s="271">
        <v>0</v>
      </c>
      <c r="P18" s="271">
        <v>0</v>
      </c>
      <c r="Q18" s="271">
        <v>0</v>
      </c>
      <c r="R18" s="271">
        <v>0</v>
      </c>
      <c r="S18" s="271">
        <v>0</v>
      </c>
      <c r="T18" s="271">
        <v>0</v>
      </c>
      <c r="U18" s="271">
        <v>0</v>
      </c>
      <c r="V18" s="270">
        <v>1</v>
      </c>
      <c r="X18" s="269"/>
      <c r="Y18" s="269"/>
      <c r="Z18" s="269"/>
      <c r="AA18" s="269"/>
      <c r="AB18" s="269"/>
      <c r="AC18" s="269"/>
      <c r="AD18" s="269"/>
      <c r="AE18" s="269"/>
      <c r="AF18" s="269"/>
      <c r="AG18" s="274"/>
      <c r="AI18" s="273"/>
      <c r="AJ18" s="273"/>
      <c r="AK18" s="273"/>
      <c r="AL18" s="273"/>
      <c r="AM18" s="273"/>
      <c r="AN18" s="273"/>
      <c r="AO18" s="273"/>
      <c r="AP18" s="273"/>
      <c r="AQ18" s="273"/>
      <c r="AR18" s="272"/>
    </row>
    <row r="20" spans="1:44" ht="13" x14ac:dyDescent="0.3">
      <c r="A20" s="263">
        <v>2</v>
      </c>
      <c r="B20" s="336" t="str">
        <f ca="1">INDIRECT(ADDRESS(17,2,1,1,"in"&amp;TEXT(A20,"@")))</f>
        <v>Participant 2</v>
      </c>
      <c r="C20" s="336"/>
      <c r="D20" s="336"/>
      <c r="E20" s="336"/>
      <c r="F20" s="336"/>
      <c r="G20" s="336"/>
      <c r="H20" s="264">
        <f ca="1">INDIRECT(ADDRESS(17,6,1,1,"in"&amp;TEXT(A20,"@")))</f>
        <v>1</v>
      </c>
      <c r="I20" s="265"/>
      <c r="J20" s="335">
        <f ca="1">INDIRECT(ADDRESS(17,7,1,1,"in"&amp;TEXT(A20,"@")))</f>
        <v>0</v>
      </c>
      <c r="K20" s="335"/>
      <c r="L20" s="263">
        <v>3</v>
      </c>
      <c r="M20" s="336" t="str">
        <f ca="1">INDIRECT(ADDRESS(17,2,1,1,"in"&amp;TEXT(L20,"@")))</f>
        <v>Participant 3</v>
      </c>
      <c r="N20" s="336"/>
      <c r="O20" s="336"/>
      <c r="P20" s="336"/>
      <c r="Q20" s="336"/>
      <c r="R20" s="336"/>
      <c r="S20" s="264">
        <f ca="1">INDIRECT(ADDRESS(17,6,1,1,"in"&amp;TEXT(L20,"@")))</f>
        <v>1</v>
      </c>
      <c r="T20" s="265"/>
      <c r="U20" s="335">
        <f ca="1">INDIRECT(ADDRESS(17,7,1,1,"in"&amp;TEXT(L20,"@")))</f>
        <v>0</v>
      </c>
      <c r="V20" s="335"/>
      <c r="X20" s="336"/>
      <c r="Y20" s="336"/>
      <c r="Z20" s="336"/>
      <c r="AA20" s="336"/>
      <c r="AB20" s="336"/>
      <c r="AC20" s="336"/>
      <c r="AD20" s="267">
        <f ca="1">IF(A20&gt;$N$4,0,IF(H20=0,1,H20))</f>
        <v>1</v>
      </c>
      <c r="AE20" s="265"/>
      <c r="AF20" s="335"/>
      <c r="AG20" s="335"/>
      <c r="AH20" s="263"/>
      <c r="AI20" s="336"/>
      <c r="AJ20" s="336"/>
      <c r="AK20" s="336"/>
      <c r="AL20" s="336"/>
      <c r="AM20" s="336"/>
      <c r="AN20" s="336"/>
      <c r="AO20" s="267">
        <f ca="1">IF(L20&gt;$N$4,0,IF(S20=0,1,S20))</f>
        <v>1</v>
      </c>
      <c r="AP20" s="267"/>
      <c r="AQ20" s="335"/>
      <c r="AR20" s="335"/>
    </row>
    <row r="21" spans="1:44" x14ac:dyDescent="0.25">
      <c r="B21" s="268">
        <v>1</v>
      </c>
      <c r="C21" s="268">
        <v>2</v>
      </c>
      <c r="D21" s="268">
        <v>3</v>
      </c>
      <c r="E21" s="268">
        <v>4</v>
      </c>
      <c r="F21" s="268">
        <v>5</v>
      </c>
      <c r="G21" s="268">
        <v>6</v>
      </c>
      <c r="H21" s="268">
        <v>7</v>
      </c>
      <c r="I21" s="268">
        <v>8</v>
      </c>
      <c r="J21" s="255">
        <v>9</v>
      </c>
      <c r="K21" s="255">
        <v>10</v>
      </c>
      <c r="M21" s="268">
        <v>1</v>
      </c>
      <c r="N21" s="268">
        <v>2</v>
      </c>
      <c r="O21" s="268">
        <v>3</v>
      </c>
      <c r="P21" s="268">
        <v>4</v>
      </c>
      <c r="Q21" s="268">
        <v>5</v>
      </c>
      <c r="R21" s="268">
        <v>6</v>
      </c>
      <c r="S21" s="268">
        <v>7</v>
      </c>
      <c r="T21" s="268">
        <v>8</v>
      </c>
      <c r="U21" s="255">
        <v>9</v>
      </c>
      <c r="V21" s="255">
        <v>10</v>
      </c>
      <c r="X21" s="268"/>
      <c r="Y21" s="268"/>
      <c r="Z21" s="268"/>
      <c r="AA21" s="268"/>
      <c r="AB21" s="268"/>
      <c r="AC21" s="268"/>
      <c r="AD21" s="268"/>
      <c r="AE21" s="268"/>
      <c r="AI21" s="268"/>
      <c r="AJ21" s="268"/>
      <c r="AK21" s="268"/>
      <c r="AL21" s="268"/>
      <c r="AM21" s="268"/>
      <c r="AN21" s="268"/>
      <c r="AO21" s="268"/>
      <c r="AP21" s="268"/>
    </row>
    <row r="22" spans="1:44" x14ac:dyDescent="0.25">
      <c r="A22" s="255">
        <v>1</v>
      </c>
      <c r="B22" s="270">
        <f t="array" ref="B22:K31">Matrix2</f>
        <v>1</v>
      </c>
      <c r="C22" s="271">
        <v>2</v>
      </c>
      <c r="D22" s="271">
        <v>2</v>
      </c>
      <c r="E22" s="271">
        <v>0</v>
      </c>
      <c r="F22" s="271">
        <v>0</v>
      </c>
      <c r="G22" s="271">
        <v>0</v>
      </c>
      <c r="H22" s="271">
        <v>0</v>
      </c>
      <c r="I22" s="271">
        <v>0</v>
      </c>
      <c r="J22" s="271">
        <v>0</v>
      </c>
      <c r="K22" s="271">
        <v>0</v>
      </c>
      <c r="L22" s="255">
        <v>1</v>
      </c>
      <c r="M22" s="270">
        <f t="array" ref="M22:V31">Matrix3</f>
        <v>1</v>
      </c>
      <c r="N22" s="271">
        <v>3</v>
      </c>
      <c r="O22" s="271">
        <v>2</v>
      </c>
      <c r="P22" s="271">
        <v>0</v>
      </c>
      <c r="Q22" s="271">
        <v>0</v>
      </c>
      <c r="R22" s="271">
        <v>0</v>
      </c>
      <c r="S22" s="271">
        <v>0</v>
      </c>
      <c r="T22" s="271">
        <v>0</v>
      </c>
      <c r="U22" s="271">
        <v>0</v>
      </c>
      <c r="V22" s="271">
        <v>0</v>
      </c>
      <c r="X22" s="272"/>
      <c r="Y22" s="273">
        <f t="shared" ref="Y22:AG22" si="15">IF(C22=0,"",LN(C22))</f>
        <v>0.69314718055994529</v>
      </c>
      <c r="Z22" s="273">
        <f t="shared" si="15"/>
        <v>0.69314718055994529</v>
      </c>
      <c r="AA22" s="273" t="str">
        <f t="shared" si="15"/>
        <v/>
      </c>
      <c r="AB22" s="273" t="str">
        <f t="shared" si="15"/>
        <v/>
      </c>
      <c r="AC22" s="273" t="str">
        <f t="shared" si="15"/>
        <v/>
      </c>
      <c r="AD22" s="273" t="str">
        <f t="shared" si="15"/>
        <v/>
      </c>
      <c r="AE22" s="273" t="str">
        <f t="shared" si="15"/>
        <v/>
      </c>
      <c r="AF22" s="273" t="str">
        <f t="shared" si="15"/>
        <v/>
      </c>
      <c r="AG22" s="273" t="str">
        <f t="shared" si="15"/>
        <v/>
      </c>
      <c r="AI22" s="272"/>
      <c r="AJ22" s="273">
        <f t="shared" ref="AJ22:AR22" si="16">IF(N22=0,"",LN(N22))</f>
        <v>1.0986122886681098</v>
      </c>
      <c r="AK22" s="273">
        <f t="shared" si="16"/>
        <v>0.69314718055994529</v>
      </c>
      <c r="AL22" s="273" t="str">
        <f t="shared" si="16"/>
        <v/>
      </c>
      <c r="AM22" s="273" t="str">
        <f t="shared" si="16"/>
        <v/>
      </c>
      <c r="AN22" s="273" t="str">
        <f t="shared" si="16"/>
        <v/>
      </c>
      <c r="AO22" s="273" t="str">
        <f t="shared" si="16"/>
        <v/>
      </c>
      <c r="AP22" s="273" t="str">
        <f t="shared" si="16"/>
        <v/>
      </c>
      <c r="AQ22" s="273" t="str">
        <f t="shared" si="16"/>
        <v/>
      </c>
      <c r="AR22" s="273" t="str">
        <f t="shared" si="16"/>
        <v/>
      </c>
    </row>
    <row r="23" spans="1:44" x14ac:dyDescent="0.25">
      <c r="A23" s="255">
        <v>2</v>
      </c>
      <c r="B23" s="271">
        <v>0.5</v>
      </c>
      <c r="C23" s="270">
        <v>1</v>
      </c>
      <c r="D23" s="271">
        <v>0.5</v>
      </c>
      <c r="E23" s="271">
        <v>0</v>
      </c>
      <c r="F23" s="271">
        <v>0</v>
      </c>
      <c r="G23" s="271">
        <v>0</v>
      </c>
      <c r="H23" s="271">
        <v>0</v>
      </c>
      <c r="I23" s="271">
        <v>0</v>
      </c>
      <c r="J23" s="271">
        <v>0</v>
      </c>
      <c r="K23" s="271">
        <v>0</v>
      </c>
      <c r="L23" s="255">
        <v>2</v>
      </c>
      <c r="M23" s="271">
        <v>0.33333333333333331</v>
      </c>
      <c r="N23" s="270">
        <v>1</v>
      </c>
      <c r="O23" s="271">
        <v>1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0</v>
      </c>
      <c r="V23" s="271">
        <v>0</v>
      </c>
      <c r="X23" s="273"/>
      <c r="Y23" s="272"/>
      <c r="Z23" s="273">
        <f t="shared" ref="Z23:AG23" si="17">IF(D23=0,"",LN(D23))</f>
        <v>-0.69314718055994529</v>
      </c>
      <c r="AA23" s="273" t="str">
        <f t="shared" si="17"/>
        <v/>
      </c>
      <c r="AB23" s="273" t="str">
        <f t="shared" si="17"/>
        <v/>
      </c>
      <c r="AC23" s="273" t="str">
        <f t="shared" si="17"/>
        <v/>
      </c>
      <c r="AD23" s="273" t="str">
        <f t="shared" si="17"/>
        <v/>
      </c>
      <c r="AE23" s="273" t="str">
        <f t="shared" si="17"/>
        <v/>
      </c>
      <c r="AF23" s="273" t="str">
        <f t="shared" si="17"/>
        <v/>
      </c>
      <c r="AG23" s="273" t="str">
        <f t="shared" si="17"/>
        <v/>
      </c>
      <c r="AI23" s="273"/>
      <c r="AJ23" s="272"/>
      <c r="AK23" s="273">
        <f t="shared" ref="AK23:AR23" si="18">IF(O23=0,"",LN(O23))</f>
        <v>0</v>
      </c>
      <c r="AL23" s="273" t="str">
        <f t="shared" si="18"/>
        <v/>
      </c>
      <c r="AM23" s="273" t="str">
        <f t="shared" si="18"/>
        <v/>
      </c>
      <c r="AN23" s="273" t="str">
        <f t="shared" si="18"/>
        <v/>
      </c>
      <c r="AO23" s="273" t="str">
        <f t="shared" si="18"/>
        <v/>
      </c>
      <c r="AP23" s="273" t="str">
        <f t="shared" si="18"/>
        <v/>
      </c>
      <c r="AQ23" s="273" t="str">
        <f t="shared" si="18"/>
        <v/>
      </c>
      <c r="AR23" s="273" t="str">
        <f t="shared" si="18"/>
        <v/>
      </c>
    </row>
    <row r="24" spans="1:44" x14ac:dyDescent="0.25">
      <c r="A24" s="255">
        <v>3</v>
      </c>
      <c r="B24" s="271">
        <v>0.5</v>
      </c>
      <c r="C24" s="271">
        <v>2</v>
      </c>
      <c r="D24" s="270">
        <v>1</v>
      </c>
      <c r="E24" s="271">
        <v>0</v>
      </c>
      <c r="F24" s="271">
        <v>0</v>
      </c>
      <c r="G24" s="271">
        <v>0</v>
      </c>
      <c r="H24" s="271">
        <v>0</v>
      </c>
      <c r="I24" s="271">
        <v>0</v>
      </c>
      <c r="J24" s="271">
        <v>0</v>
      </c>
      <c r="K24" s="271">
        <v>0</v>
      </c>
      <c r="L24" s="255">
        <v>3</v>
      </c>
      <c r="M24" s="271">
        <v>0.5</v>
      </c>
      <c r="N24" s="271">
        <v>1</v>
      </c>
      <c r="O24" s="270">
        <v>1</v>
      </c>
      <c r="P24" s="271">
        <v>0</v>
      </c>
      <c r="Q24" s="271">
        <v>0</v>
      </c>
      <c r="R24" s="271">
        <v>0</v>
      </c>
      <c r="S24" s="271">
        <v>0</v>
      </c>
      <c r="T24" s="271">
        <v>0</v>
      </c>
      <c r="U24" s="271">
        <v>0</v>
      </c>
      <c r="V24" s="271">
        <v>0</v>
      </c>
      <c r="X24" s="273"/>
      <c r="Y24" s="273"/>
      <c r="Z24" s="272"/>
      <c r="AA24" s="273" t="str">
        <f t="shared" ref="AA24:AG24" si="19">IF(E24=0,"",LN(E24))</f>
        <v/>
      </c>
      <c r="AB24" s="273" t="str">
        <f t="shared" si="19"/>
        <v/>
      </c>
      <c r="AC24" s="273" t="str">
        <f t="shared" si="19"/>
        <v/>
      </c>
      <c r="AD24" s="273" t="str">
        <f t="shared" si="19"/>
        <v/>
      </c>
      <c r="AE24" s="273" t="str">
        <f t="shared" si="19"/>
        <v/>
      </c>
      <c r="AF24" s="273" t="str">
        <f t="shared" si="19"/>
        <v/>
      </c>
      <c r="AG24" s="273" t="str">
        <f t="shared" si="19"/>
        <v/>
      </c>
      <c r="AI24" s="273"/>
      <c r="AJ24" s="273"/>
      <c r="AK24" s="272"/>
      <c r="AL24" s="273" t="str">
        <f t="shared" ref="AL24:AR24" si="20">IF(P24=0,"",LN(P24))</f>
        <v/>
      </c>
      <c r="AM24" s="273" t="str">
        <f t="shared" si="20"/>
        <v/>
      </c>
      <c r="AN24" s="273" t="str">
        <f t="shared" si="20"/>
        <v/>
      </c>
      <c r="AO24" s="273" t="str">
        <f t="shared" si="20"/>
        <v/>
      </c>
      <c r="AP24" s="273" t="str">
        <f t="shared" si="20"/>
        <v/>
      </c>
      <c r="AQ24" s="273" t="str">
        <f t="shared" si="20"/>
        <v/>
      </c>
      <c r="AR24" s="273" t="str">
        <f t="shared" si="20"/>
        <v/>
      </c>
    </row>
    <row r="25" spans="1:44" x14ac:dyDescent="0.25">
      <c r="A25" s="255">
        <v>4</v>
      </c>
      <c r="B25" s="271">
        <v>0</v>
      </c>
      <c r="C25" s="271">
        <v>0</v>
      </c>
      <c r="D25" s="271">
        <v>0</v>
      </c>
      <c r="E25" s="270">
        <v>1</v>
      </c>
      <c r="F25" s="271">
        <v>0</v>
      </c>
      <c r="G25" s="271">
        <v>0</v>
      </c>
      <c r="H25" s="271">
        <v>0</v>
      </c>
      <c r="I25" s="271">
        <v>0</v>
      </c>
      <c r="J25" s="271">
        <v>0</v>
      </c>
      <c r="K25" s="271">
        <v>0</v>
      </c>
      <c r="L25" s="255">
        <v>4</v>
      </c>
      <c r="M25" s="271">
        <v>0</v>
      </c>
      <c r="N25" s="271">
        <v>0</v>
      </c>
      <c r="O25" s="271">
        <v>0</v>
      </c>
      <c r="P25" s="270">
        <v>1</v>
      </c>
      <c r="Q25" s="271">
        <v>0</v>
      </c>
      <c r="R25" s="271">
        <v>0</v>
      </c>
      <c r="S25" s="271">
        <v>0</v>
      </c>
      <c r="T25" s="271">
        <v>0</v>
      </c>
      <c r="U25" s="271">
        <v>0</v>
      </c>
      <c r="V25" s="271">
        <v>0</v>
      </c>
      <c r="X25" s="273"/>
      <c r="Y25" s="273"/>
      <c r="Z25" s="273"/>
      <c r="AA25" s="272"/>
      <c r="AB25" s="273" t="str">
        <f t="shared" ref="AB25:AG25" si="21">IF(F25=0,"",LN(F25))</f>
        <v/>
      </c>
      <c r="AC25" s="273" t="str">
        <f t="shared" si="21"/>
        <v/>
      </c>
      <c r="AD25" s="273" t="str">
        <f t="shared" si="21"/>
        <v/>
      </c>
      <c r="AE25" s="273" t="str">
        <f t="shared" si="21"/>
        <v/>
      </c>
      <c r="AF25" s="273" t="str">
        <f t="shared" si="21"/>
        <v/>
      </c>
      <c r="AG25" s="273" t="str">
        <f t="shared" si="21"/>
        <v/>
      </c>
      <c r="AI25" s="273"/>
      <c r="AJ25" s="273"/>
      <c r="AK25" s="273"/>
      <c r="AL25" s="272"/>
      <c r="AM25" s="273" t="str">
        <f t="shared" ref="AM25:AR25" si="22">IF(Q25=0,"",LN(Q25))</f>
        <v/>
      </c>
      <c r="AN25" s="273" t="str">
        <f t="shared" si="22"/>
        <v/>
      </c>
      <c r="AO25" s="273" t="str">
        <f t="shared" si="22"/>
        <v/>
      </c>
      <c r="AP25" s="273" t="str">
        <f t="shared" si="22"/>
        <v/>
      </c>
      <c r="AQ25" s="273" t="str">
        <f t="shared" si="22"/>
        <v/>
      </c>
      <c r="AR25" s="273" t="str">
        <f t="shared" si="22"/>
        <v/>
      </c>
    </row>
    <row r="26" spans="1:44" x14ac:dyDescent="0.25">
      <c r="A26" s="255">
        <v>5</v>
      </c>
      <c r="B26" s="271">
        <v>0</v>
      </c>
      <c r="C26" s="271">
        <v>0</v>
      </c>
      <c r="D26" s="271">
        <v>0</v>
      </c>
      <c r="E26" s="271">
        <v>0</v>
      </c>
      <c r="F26" s="270">
        <v>1</v>
      </c>
      <c r="G26" s="271">
        <v>0</v>
      </c>
      <c r="H26" s="271">
        <v>0</v>
      </c>
      <c r="I26" s="271">
        <v>0</v>
      </c>
      <c r="J26" s="271">
        <v>0</v>
      </c>
      <c r="K26" s="271">
        <v>0</v>
      </c>
      <c r="L26" s="255">
        <v>5</v>
      </c>
      <c r="M26" s="271">
        <v>0</v>
      </c>
      <c r="N26" s="271">
        <v>0</v>
      </c>
      <c r="O26" s="271">
        <v>0</v>
      </c>
      <c r="P26" s="271">
        <v>0</v>
      </c>
      <c r="Q26" s="270">
        <v>1</v>
      </c>
      <c r="R26" s="271">
        <v>0</v>
      </c>
      <c r="S26" s="271">
        <v>0</v>
      </c>
      <c r="T26" s="271">
        <v>0</v>
      </c>
      <c r="U26" s="271">
        <v>0</v>
      </c>
      <c r="V26" s="271">
        <v>0</v>
      </c>
      <c r="X26" s="273"/>
      <c r="Y26" s="273"/>
      <c r="Z26" s="273"/>
      <c r="AA26" s="273"/>
      <c r="AB26" s="272"/>
      <c r="AC26" s="273" t="str">
        <f>IF(G26=0,"",LN(G26))</f>
        <v/>
      </c>
      <c r="AD26" s="273" t="str">
        <f>IF(H26=0,"",LN(H26))</f>
        <v/>
      </c>
      <c r="AE26" s="273" t="str">
        <f>IF(I26=0,"",LN(I26))</f>
        <v/>
      </c>
      <c r="AF26" s="273" t="str">
        <f>IF(J26=0,"",LN(J26))</f>
        <v/>
      </c>
      <c r="AG26" s="273" t="str">
        <f>IF(K26=0,"",LN(K26))</f>
        <v/>
      </c>
      <c r="AI26" s="273"/>
      <c r="AJ26" s="273"/>
      <c r="AK26" s="273"/>
      <c r="AL26" s="273"/>
      <c r="AM26" s="272"/>
      <c r="AN26" s="273" t="str">
        <f>IF(R26=0,"",LN(R26))</f>
        <v/>
      </c>
      <c r="AO26" s="273" t="str">
        <f>IF(S26=0,"",LN(S26))</f>
        <v/>
      </c>
      <c r="AP26" s="273" t="str">
        <f>IF(T26=0,"",LN(T26))</f>
        <v/>
      </c>
      <c r="AQ26" s="273" t="str">
        <f>IF(U26=0,"",LN(U26))</f>
        <v/>
      </c>
      <c r="AR26" s="273" t="str">
        <f>IF(V26=0,"",LN(V26))</f>
        <v/>
      </c>
    </row>
    <row r="27" spans="1:44" x14ac:dyDescent="0.25">
      <c r="A27" s="255">
        <v>6</v>
      </c>
      <c r="B27" s="271">
        <v>0</v>
      </c>
      <c r="C27" s="271">
        <v>0</v>
      </c>
      <c r="D27" s="271">
        <v>0</v>
      </c>
      <c r="E27" s="271">
        <v>0</v>
      </c>
      <c r="F27" s="271">
        <v>0</v>
      </c>
      <c r="G27" s="270">
        <v>1</v>
      </c>
      <c r="H27" s="271">
        <v>0</v>
      </c>
      <c r="I27" s="271">
        <v>0</v>
      </c>
      <c r="J27" s="271">
        <v>0</v>
      </c>
      <c r="K27" s="271">
        <v>0</v>
      </c>
      <c r="L27" s="255">
        <v>6</v>
      </c>
      <c r="M27" s="271">
        <v>0</v>
      </c>
      <c r="N27" s="271">
        <v>0</v>
      </c>
      <c r="O27" s="271">
        <v>0</v>
      </c>
      <c r="P27" s="271">
        <v>0</v>
      </c>
      <c r="Q27" s="271">
        <v>0</v>
      </c>
      <c r="R27" s="270">
        <v>1</v>
      </c>
      <c r="S27" s="271">
        <v>0</v>
      </c>
      <c r="T27" s="271">
        <v>0</v>
      </c>
      <c r="U27" s="271">
        <v>0</v>
      </c>
      <c r="V27" s="271">
        <v>0</v>
      </c>
      <c r="X27" s="273"/>
      <c r="Y27" s="273"/>
      <c r="Z27" s="273"/>
      <c r="AA27" s="273"/>
      <c r="AB27" s="273"/>
      <c r="AC27" s="272"/>
      <c r="AD27" s="273" t="str">
        <f>IF(H27=0,"",LN(H27))</f>
        <v/>
      </c>
      <c r="AE27" s="273" t="str">
        <f>IF(I27=0,"",LN(I27))</f>
        <v/>
      </c>
      <c r="AF27" s="273" t="str">
        <f>IF(J27=0,"",LN(J27))</f>
        <v/>
      </c>
      <c r="AG27" s="273" t="str">
        <f>IF(K27=0,"",LN(K27))</f>
        <v/>
      </c>
      <c r="AI27" s="273"/>
      <c r="AJ27" s="273"/>
      <c r="AK27" s="273"/>
      <c r="AL27" s="273"/>
      <c r="AM27" s="273"/>
      <c r="AN27" s="272"/>
      <c r="AO27" s="273" t="str">
        <f>IF(S27=0,"",LN(S27))</f>
        <v/>
      </c>
      <c r="AP27" s="273" t="str">
        <f>IF(T27=0,"",LN(T27))</f>
        <v/>
      </c>
      <c r="AQ27" s="273" t="str">
        <f>IF(U27=0,"",LN(U27))</f>
        <v/>
      </c>
      <c r="AR27" s="273" t="str">
        <f>IF(V27=0,"",LN(V27))</f>
        <v/>
      </c>
    </row>
    <row r="28" spans="1:44" x14ac:dyDescent="0.25">
      <c r="A28" s="255">
        <v>7</v>
      </c>
      <c r="B28" s="271">
        <v>0</v>
      </c>
      <c r="C28" s="271">
        <v>0</v>
      </c>
      <c r="D28" s="271">
        <v>0</v>
      </c>
      <c r="E28" s="271">
        <v>0</v>
      </c>
      <c r="F28" s="271">
        <v>0</v>
      </c>
      <c r="G28" s="271">
        <v>0</v>
      </c>
      <c r="H28" s="270">
        <v>1</v>
      </c>
      <c r="I28" s="271">
        <v>0</v>
      </c>
      <c r="J28" s="271">
        <v>0</v>
      </c>
      <c r="K28" s="271">
        <v>0</v>
      </c>
      <c r="L28" s="255">
        <v>7</v>
      </c>
      <c r="M28" s="271">
        <v>0</v>
      </c>
      <c r="N28" s="271">
        <v>0</v>
      </c>
      <c r="O28" s="271">
        <v>0</v>
      </c>
      <c r="P28" s="271">
        <v>0</v>
      </c>
      <c r="Q28" s="271">
        <v>0</v>
      </c>
      <c r="R28" s="271">
        <v>0</v>
      </c>
      <c r="S28" s="270">
        <v>1</v>
      </c>
      <c r="T28" s="271">
        <v>0</v>
      </c>
      <c r="U28" s="271">
        <v>0</v>
      </c>
      <c r="V28" s="271">
        <v>0</v>
      </c>
      <c r="X28" s="273"/>
      <c r="Y28" s="273"/>
      <c r="Z28" s="273"/>
      <c r="AA28" s="273"/>
      <c r="AB28" s="273"/>
      <c r="AC28" s="273"/>
      <c r="AD28" s="272"/>
      <c r="AE28" s="273" t="str">
        <f>IF(I28=0,"",LN(I28))</f>
        <v/>
      </c>
      <c r="AF28" s="273" t="str">
        <f>IF(J28=0,"",LN(J28))</f>
        <v/>
      </c>
      <c r="AG28" s="273" t="str">
        <f>IF(K28=0,"",LN(K28))</f>
        <v/>
      </c>
      <c r="AI28" s="273"/>
      <c r="AJ28" s="273"/>
      <c r="AK28" s="273"/>
      <c r="AL28" s="273"/>
      <c r="AM28" s="273"/>
      <c r="AN28" s="273"/>
      <c r="AO28" s="272"/>
      <c r="AP28" s="273" t="str">
        <f>IF(T28=0,"",LN(T28))</f>
        <v/>
      </c>
      <c r="AQ28" s="273" t="str">
        <f>IF(U28=0,"",LN(U28))</f>
        <v/>
      </c>
      <c r="AR28" s="273" t="str">
        <f>IF(V28=0,"",LN(V28))</f>
        <v/>
      </c>
    </row>
    <row r="29" spans="1:44" x14ac:dyDescent="0.25">
      <c r="A29" s="255">
        <v>8</v>
      </c>
      <c r="B29" s="271">
        <v>0</v>
      </c>
      <c r="C29" s="271">
        <v>0</v>
      </c>
      <c r="D29" s="271">
        <v>0</v>
      </c>
      <c r="E29" s="271">
        <v>0</v>
      </c>
      <c r="F29" s="271">
        <v>0</v>
      </c>
      <c r="G29" s="271">
        <v>0</v>
      </c>
      <c r="H29" s="271">
        <v>0</v>
      </c>
      <c r="I29" s="270">
        <v>1</v>
      </c>
      <c r="J29" s="271">
        <v>0</v>
      </c>
      <c r="K29" s="271">
        <v>0</v>
      </c>
      <c r="L29" s="255">
        <v>8</v>
      </c>
      <c r="M29" s="271">
        <v>0</v>
      </c>
      <c r="N29" s="271">
        <v>0</v>
      </c>
      <c r="O29" s="271">
        <v>0</v>
      </c>
      <c r="P29" s="271">
        <v>0</v>
      </c>
      <c r="Q29" s="271">
        <v>0</v>
      </c>
      <c r="R29" s="271">
        <v>0</v>
      </c>
      <c r="S29" s="271">
        <v>0</v>
      </c>
      <c r="T29" s="270">
        <v>1</v>
      </c>
      <c r="U29" s="271">
        <v>0</v>
      </c>
      <c r="V29" s="271">
        <v>0</v>
      </c>
      <c r="X29" s="273"/>
      <c r="Y29" s="273"/>
      <c r="Z29" s="273"/>
      <c r="AA29" s="273"/>
      <c r="AB29" s="273"/>
      <c r="AC29" s="273"/>
      <c r="AD29" s="273"/>
      <c r="AE29" s="272"/>
      <c r="AF29" s="273" t="str">
        <f>IF(J29=0,"",LN(J29))</f>
        <v/>
      </c>
      <c r="AG29" s="273" t="str">
        <f>IF(K29=0,"",LN(K29))</f>
        <v/>
      </c>
      <c r="AI29" s="273"/>
      <c r="AJ29" s="273"/>
      <c r="AK29" s="273"/>
      <c r="AL29" s="273"/>
      <c r="AM29" s="273"/>
      <c r="AN29" s="273"/>
      <c r="AO29" s="273"/>
      <c r="AP29" s="272"/>
      <c r="AQ29" s="273" t="str">
        <f>IF(U29=0,"",LN(U29))</f>
        <v/>
      </c>
      <c r="AR29" s="273" t="str">
        <f>IF(V29=0,"",LN(V29))</f>
        <v/>
      </c>
    </row>
    <row r="30" spans="1:44" x14ac:dyDescent="0.25">
      <c r="A30" s="255">
        <v>9</v>
      </c>
      <c r="B30" s="271">
        <v>0</v>
      </c>
      <c r="C30" s="271">
        <v>0</v>
      </c>
      <c r="D30" s="271">
        <v>0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70">
        <v>1</v>
      </c>
      <c r="K30" s="271">
        <v>0</v>
      </c>
      <c r="L30" s="255">
        <v>9</v>
      </c>
      <c r="M30" s="271">
        <v>0</v>
      </c>
      <c r="N30" s="271">
        <v>0</v>
      </c>
      <c r="O30" s="271">
        <v>0</v>
      </c>
      <c r="P30" s="271">
        <v>0</v>
      </c>
      <c r="Q30" s="271">
        <v>0</v>
      </c>
      <c r="R30" s="271">
        <v>0</v>
      </c>
      <c r="S30" s="271">
        <v>0</v>
      </c>
      <c r="T30" s="271">
        <v>0</v>
      </c>
      <c r="U30" s="270">
        <v>1</v>
      </c>
      <c r="V30" s="271">
        <v>0</v>
      </c>
      <c r="X30" s="273"/>
      <c r="Y30" s="273"/>
      <c r="Z30" s="273"/>
      <c r="AA30" s="273"/>
      <c r="AB30" s="273"/>
      <c r="AC30" s="273"/>
      <c r="AD30" s="273"/>
      <c r="AE30" s="273"/>
      <c r="AF30" s="272"/>
      <c r="AG30" s="273" t="str">
        <f>IF(K30=0,"",LN(K30))</f>
        <v/>
      </c>
      <c r="AI30" s="273"/>
      <c r="AJ30" s="273"/>
      <c r="AK30" s="273"/>
      <c r="AL30" s="273"/>
      <c r="AM30" s="273"/>
      <c r="AN30" s="273"/>
      <c r="AO30" s="273"/>
      <c r="AP30" s="273"/>
      <c r="AQ30" s="272"/>
      <c r="AR30" s="273" t="str">
        <f>IF(V30=0,"",LN(V30))</f>
        <v/>
      </c>
    </row>
    <row r="31" spans="1:44" x14ac:dyDescent="0.25">
      <c r="A31" s="255">
        <v>10</v>
      </c>
      <c r="B31" s="271">
        <v>0</v>
      </c>
      <c r="C31" s="271">
        <v>0</v>
      </c>
      <c r="D31" s="271">
        <v>0</v>
      </c>
      <c r="E31" s="271">
        <v>0</v>
      </c>
      <c r="F31" s="271">
        <v>0</v>
      </c>
      <c r="G31" s="271">
        <v>0</v>
      </c>
      <c r="H31" s="271">
        <v>0</v>
      </c>
      <c r="I31" s="271">
        <v>0</v>
      </c>
      <c r="J31" s="271">
        <v>0</v>
      </c>
      <c r="K31" s="270">
        <v>1</v>
      </c>
      <c r="L31" s="255">
        <v>10</v>
      </c>
      <c r="M31" s="271">
        <v>0</v>
      </c>
      <c r="N31" s="271">
        <v>0</v>
      </c>
      <c r="O31" s="271">
        <v>0</v>
      </c>
      <c r="P31" s="271">
        <v>0</v>
      </c>
      <c r="Q31" s="271">
        <v>0</v>
      </c>
      <c r="R31" s="271">
        <v>0</v>
      </c>
      <c r="S31" s="271">
        <v>0</v>
      </c>
      <c r="T31" s="271">
        <v>0</v>
      </c>
      <c r="U31" s="271">
        <v>0</v>
      </c>
      <c r="V31" s="270">
        <v>1</v>
      </c>
      <c r="X31" s="273"/>
      <c r="Y31" s="273"/>
      <c r="Z31" s="273"/>
      <c r="AA31" s="273"/>
      <c r="AB31" s="273"/>
      <c r="AC31" s="273"/>
      <c r="AD31" s="273"/>
      <c r="AE31" s="273"/>
      <c r="AF31" s="273"/>
      <c r="AG31" s="272"/>
      <c r="AI31" s="273"/>
      <c r="AJ31" s="273"/>
      <c r="AK31" s="273"/>
      <c r="AL31" s="273"/>
      <c r="AM31" s="273"/>
      <c r="AN31" s="273"/>
      <c r="AO31" s="273"/>
      <c r="AP31" s="273"/>
      <c r="AQ31" s="273"/>
      <c r="AR31" s="272"/>
    </row>
    <row r="33" spans="1:44" ht="13" x14ac:dyDescent="0.3">
      <c r="A33" s="263">
        <v>4</v>
      </c>
      <c r="B33" s="336" t="str">
        <f ca="1">INDIRECT(ADDRESS(17,2,1,1,"in"&amp;TEXT(A33,"@")))</f>
        <v>Participant 4</v>
      </c>
      <c r="C33" s="336"/>
      <c r="D33" s="336"/>
      <c r="E33" s="336"/>
      <c r="F33" s="336"/>
      <c r="G33" s="336"/>
      <c r="H33" s="264">
        <f ca="1">INDIRECT(ADDRESS(17,6,1,1,"in"&amp;TEXT(A33,"@")))</f>
        <v>1</v>
      </c>
      <c r="I33" s="265"/>
      <c r="J33" s="335">
        <f ca="1">INDIRECT(ADDRESS(17,7,1,1,"in"&amp;TEXT(A33,"@")))</f>
        <v>0</v>
      </c>
      <c r="K33" s="335"/>
      <c r="L33" s="263">
        <v>5</v>
      </c>
      <c r="M33" s="336" t="str">
        <f ca="1">INDIRECT(ADDRESS(17,2,1,1,"in"&amp;TEXT(L33,"@")))</f>
        <v>Participant 5</v>
      </c>
      <c r="N33" s="336"/>
      <c r="O33" s="336"/>
      <c r="P33" s="336"/>
      <c r="Q33" s="336"/>
      <c r="R33" s="336"/>
      <c r="S33" s="264">
        <f ca="1">INDIRECT(ADDRESS(17,6,1,1,"in"&amp;TEXT(L33,"@")))</f>
        <v>1</v>
      </c>
      <c r="T33" s="265"/>
      <c r="U33" s="335">
        <f ca="1">INDIRECT(ADDRESS(17,7,1,1,"in"&amp;TEXT(L33,"@")))</f>
        <v>0</v>
      </c>
      <c r="V33" s="335"/>
      <c r="X33" s="336"/>
      <c r="Y33" s="336"/>
      <c r="Z33" s="336"/>
      <c r="AA33" s="336"/>
      <c r="AB33" s="336"/>
      <c r="AC33" s="336"/>
      <c r="AD33" s="267">
        <f ca="1">IF(A33&gt;$N$4,0,IF(H33=0,1,H33))</f>
        <v>1</v>
      </c>
      <c r="AE33" s="267"/>
      <c r="AF33" s="335"/>
      <c r="AG33" s="335"/>
      <c r="AH33" s="263"/>
      <c r="AI33" s="336"/>
      <c r="AJ33" s="336"/>
      <c r="AK33" s="336"/>
      <c r="AL33" s="336"/>
      <c r="AM33" s="336"/>
      <c r="AN33" s="336"/>
      <c r="AO33" s="267">
        <f ca="1">IF(L33&gt;$N$4,0,IF(S33=0,1,S33))</f>
        <v>1</v>
      </c>
      <c r="AP33" s="267"/>
      <c r="AQ33" s="335"/>
      <c r="AR33" s="335"/>
    </row>
    <row r="34" spans="1:44" x14ac:dyDescent="0.25">
      <c r="B34" s="268">
        <v>1</v>
      </c>
      <c r="C34" s="268">
        <v>2</v>
      </c>
      <c r="D34" s="268">
        <v>3</v>
      </c>
      <c r="E34" s="268">
        <v>4</v>
      </c>
      <c r="F34" s="268">
        <v>5</v>
      </c>
      <c r="G34" s="268">
        <v>6</v>
      </c>
      <c r="H34" s="268">
        <v>7</v>
      </c>
      <c r="I34" s="268">
        <v>8</v>
      </c>
      <c r="J34" s="255">
        <v>9</v>
      </c>
      <c r="K34" s="255">
        <v>10</v>
      </c>
      <c r="M34" s="268">
        <v>1</v>
      </c>
      <c r="N34" s="268">
        <v>2</v>
      </c>
      <c r="O34" s="268">
        <v>3</v>
      </c>
      <c r="P34" s="268">
        <v>4</v>
      </c>
      <c r="Q34" s="268">
        <v>5</v>
      </c>
      <c r="R34" s="268">
        <v>6</v>
      </c>
      <c r="S34" s="268">
        <v>7</v>
      </c>
      <c r="T34" s="268">
        <v>8</v>
      </c>
      <c r="U34" s="255">
        <v>9</v>
      </c>
      <c r="V34" s="255">
        <v>10</v>
      </c>
      <c r="X34" s="268"/>
      <c r="Y34" s="268"/>
      <c r="Z34" s="268"/>
      <c r="AA34" s="268"/>
      <c r="AB34" s="268"/>
      <c r="AC34" s="268"/>
      <c r="AD34" s="268"/>
      <c r="AE34" s="268"/>
      <c r="AI34" s="268"/>
      <c r="AJ34" s="268"/>
      <c r="AK34" s="268"/>
      <c r="AL34" s="268"/>
      <c r="AM34" s="268"/>
      <c r="AN34" s="268"/>
      <c r="AO34" s="268"/>
      <c r="AP34" s="268"/>
    </row>
    <row r="35" spans="1:44" x14ac:dyDescent="0.25">
      <c r="A35" s="255">
        <v>1</v>
      </c>
      <c r="B35" s="270">
        <f t="array" ref="B35:K44">Matrix4</f>
        <v>1</v>
      </c>
      <c r="C35" s="271">
        <v>0.5</v>
      </c>
      <c r="D35" s="271">
        <v>0.2</v>
      </c>
      <c r="E35" s="271">
        <v>0</v>
      </c>
      <c r="F35" s="271">
        <v>0</v>
      </c>
      <c r="G35" s="271">
        <v>0</v>
      </c>
      <c r="H35" s="271">
        <v>0</v>
      </c>
      <c r="I35" s="271">
        <v>0</v>
      </c>
      <c r="J35" s="271">
        <v>0</v>
      </c>
      <c r="K35" s="271">
        <v>0</v>
      </c>
      <c r="L35" s="255">
        <v>1</v>
      </c>
      <c r="M35" s="270">
        <f t="array" ref="M35:V44">Matrix5</f>
        <v>1</v>
      </c>
      <c r="N35" s="271">
        <v>2</v>
      </c>
      <c r="O35" s="271">
        <v>0.5</v>
      </c>
      <c r="P35" s="271">
        <v>0</v>
      </c>
      <c r="Q35" s="271">
        <v>0</v>
      </c>
      <c r="R35" s="271">
        <v>0</v>
      </c>
      <c r="S35" s="271">
        <v>0</v>
      </c>
      <c r="T35" s="271">
        <v>0</v>
      </c>
      <c r="U35" s="271">
        <v>0</v>
      </c>
      <c r="V35" s="271">
        <v>0</v>
      </c>
      <c r="X35" s="272"/>
      <c r="Y35" s="273">
        <f t="shared" ref="Y35:AG35" si="23">IF(C35=0,"",LN(C35))</f>
        <v>-0.69314718055994529</v>
      </c>
      <c r="Z35" s="273">
        <f t="shared" si="23"/>
        <v>-1.6094379124341003</v>
      </c>
      <c r="AA35" s="273" t="str">
        <f t="shared" si="23"/>
        <v/>
      </c>
      <c r="AB35" s="273" t="str">
        <f t="shared" si="23"/>
        <v/>
      </c>
      <c r="AC35" s="273" t="str">
        <f t="shared" si="23"/>
        <v/>
      </c>
      <c r="AD35" s="273" t="str">
        <f t="shared" si="23"/>
        <v/>
      </c>
      <c r="AE35" s="273" t="str">
        <f t="shared" si="23"/>
        <v/>
      </c>
      <c r="AF35" s="273" t="str">
        <f t="shared" si="23"/>
        <v/>
      </c>
      <c r="AG35" s="273" t="str">
        <f t="shared" si="23"/>
        <v/>
      </c>
      <c r="AI35" s="272"/>
      <c r="AJ35" s="273">
        <f t="shared" ref="AJ35:AR35" si="24">IF(N35=0,"",LN(N35))</f>
        <v>0.69314718055994529</v>
      </c>
      <c r="AK35" s="273">
        <f t="shared" si="24"/>
        <v>-0.69314718055994529</v>
      </c>
      <c r="AL35" s="273" t="str">
        <f t="shared" si="24"/>
        <v/>
      </c>
      <c r="AM35" s="273" t="str">
        <f t="shared" si="24"/>
        <v/>
      </c>
      <c r="AN35" s="273" t="str">
        <f t="shared" si="24"/>
        <v/>
      </c>
      <c r="AO35" s="273" t="str">
        <f t="shared" si="24"/>
        <v/>
      </c>
      <c r="AP35" s="273" t="str">
        <f t="shared" si="24"/>
        <v/>
      </c>
      <c r="AQ35" s="273" t="str">
        <f t="shared" si="24"/>
        <v/>
      </c>
      <c r="AR35" s="273" t="str">
        <f t="shared" si="24"/>
        <v/>
      </c>
    </row>
    <row r="36" spans="1:44" x14ac:dyDescent="0.25">
      <c r="A36" s="255">
        <v>2</v>
      </c>
      <c r="B36" s="271">
        <v>2</v>
      </c>
      <c r="C36" s="270">
        <v>1</v>
      </c>
      <c r="D36" s="271">
        <v>1</v>
      </c>
      <c r="E36" s="271">
        <v>0</v>
      </c>
      <c r="F36" s="271">
        <v>0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55">
        <v>2</v>
      </c>
      <c r="M36" s="271">
        <v>0.5</v>
      </c>
      <c r="N36" s="270">
        <v>1</v>
      </c>
      <c r="O36" s="271">
        <v>0.5</v>
      </c>
      <c r="P36" s="271">
        <v>0</v>
      </c>
      <c r="Q36" s="271">
        <v>0</v>
      </c>
      <c r="R36" s="271">
        <v>0</v>
      </c>
      <c r="S36" s="271">
        <v>0</v>
      </c>
      <c r="T36" s="271">
        <v>0</v>
      </c>
      <c r="U36" s="271">
        <v>0</v>
      </c>
      <c r="V36" s="271">
        <v>0</v>
      </c>
      <c r="X36" s="273"/>
      <c r="Y36" s="272"/>
      <c r="Z36" s="273">
        <f t="shared" ref="Z36:AG36" si="25">IF(D36=0,"",LN(D36))</f>
        <v>0</v>
      </c>
      <c r="AA36" s="273" t="str">
        <f t="shared" si="25"/>
        <v/>
      </c>
      <c r="AB36" s="273" t="str">
        <f t="shared" si="25"/>
        <v/>
      </c>
      <c r="AC36" s="273" t="str">
        <f t="shared" si="25"/>
        <v/>
      </c>
      <c r="AD36" s="273" t="str">
        <f t="shared" si="25"/>
        <v/>
      </c>
      <c r="AE36" s="273" t="str">
        <f t="shared" si="25"/>
        <v/>
      </c>
      <c r="AF36" s="273" t="str">
        <f t="shared" si="25"/>
        <v/>
      </c>
      <c r="AG36" s="273" t="str">
        <f t="shared" si="25"/>
        <v/>
      </c>
      <c r="AI36" s="273"/>
      <c r="AJ36" s="272"/>
      <c r="AK36" s="273">
        <f t="shared" ref="AK36:AR36" si="26">IF(O36=0,"",LN(O36))</f>
        <v>-0.69314718055994529</v>
      </c>
      <c r="AL36" s="273" t="str">
        <f t="shared" si="26"/>
        <v/>
      </c>
      <c r="AM36" s="273" t="str">
        <f t="shared" si="26"/>
        <v/>
      </c>
      <c r="AN36" s="273" t="str">
        <f t="shared" si="26"/>
        <v/>
      </c>
      <c r="AO36" s="273" t="str">
        <f t="shared" si="26"/>
        <v/>
      </c>
      <c r="AP36" s="273" t="str">
        <f t="shared" si="26"/>
        <v/>
      </c>
      <c r="AQ36" s="273" t="str">
        <f t="shared" si="26"/>
        <v/>
      </c>
      <c r="AR36" s="273" t="str">
        <f t="shared" si="26"/>
        <v/>
      </c>
    </row>
    <row r="37" spans="1:44" x14ac:dyDescent="0.25">
      <c r="A37" s="255">
        <v>3</v>
      </c>
      <c r="B37" s="271">
        <v>5</v>
      </c>
      <c r="C37" s="271">
        <v>1</v>
      </c>
      <c r="D37" s="270">
        <v>1</v>
      </c>
      <c r="E37" s="271">
        <v>0</v>
      </c>
      <c r="F37" s="271">
        <v>0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55">
        <v>3</v>
      </c>
      <c r="M37" s="271">
        <v>2</v>
      </c>
      <c r="N37" s="271">
        <v>2</v>
      </c>
      <c r="O37" s="270">
        <v>1</v>
      </c>
      <c r="P37" s="271">
        <v>0</v>
      </c>
      <c r="Q37" s="271">
        <v>0</v>
      </c>
      <c r="R37" s="271">
        <v>0</v>
      </c>
      <c r="S37" s="271">
        <v>0</v>
      </c>
      <c r="T37" s="271">
        <v>0</v>
      </c>
      <c r="U37" s="271">
        <v>0</v>
      </c>
      <c r="V37" s="271">
        <v>0</v>
      </c>
      <c r="X37" s="273"/>
      <c r="Y37" s="273"/>
      <c r="Z37" s="272"/>
      <c r="AA37" s="273" t="str">
        <f t="shared" ref="AA37:AG37" si="27">IF(E37=0,"",LN(E37))</f>
        <v/>
      </c>
      <c r="AB37" s="273" t="str">
        <f t="shared" si="27"/>
        <v/>
      </c>
      <c r="AC37" s="273" t="str">
        <f t="shared" si="27"/>
        <v/>
      </c>
      <c r="AD37" s="273" t="str">
        <f t="shared" si="27"/>
        <v/>
      </c>
      <c r="AE37" s="273" t="str">
        <f t="shared" si="27"/>
        <v/>
      </c>
      <c r="AF37" s="273" t="str">
        <f t="shared" si="27"/>
        <v/>
      </c>
      <c r="AG37" s="273" t="str">
        <f t="shared" si="27"/>
        <v/>
      </c>
      <c r="AI37" s="273"/>
      <c r="AJ37" s="273"/>
      <c r="AK37" s="272"/>
      <c r="AL37" s="273" t="str">
        <f t="shared" ref="AL37:AR37" si="28">IF(P37=0,"",LN(P37))</f>
        <v/>
      </c>
      <c r="AM37" s="273" t="str">
        <f t="shared" si="28"/>
        <v/>
      </c>
      <c r="AN37" s="273" t="str">
        <f t="shared" si="28"/>
        <v/>
      </c>
      <c r="AO37" s="273" t="str">
        <f t="shared" si="28"/>
        <v/>
      </c>
      <c r="AP37" s="273" t="str">
        <f t="shared" si="28"/>
        <v/>
      </c>
      <c r="AQ37" s="273" t="str">
        <f t="shared" si="28"/>
        <v/>
      </c>
      <c r="AR37" s="273" t="str">
        <f t="shared" si="28"/>
        <v/>
      </c>
    </row>
    <row r="38" spans="1:44" x14ac:dyDescent="0.25">
      <c r="A38" s="255">
        <v>4</v>
      </c>
      <c r="B38" s="271">
        <v>0</v>
      </c>
      <c r="C38" s="271">
        <v>0</v>
      </c>
      <c r="D38" s="271">
        <v>0</v>
      </c>
      <c r="E38" s="270">
        <v>1</v>
      </c>
      <c r="F38" s="271">
        <v>0</v>
      </c>
      <c r="G38" s="271">
        <v>0</v>
      </c>
      <c r="H38" s="271">
        <v>0</v>
      </c>
      <c r="I38" s="271">
        <v>0</v>
      </c>
      <c r="J38" s="271">
        <v>0</v>
      </c>
      <c r="K38" s="271">
        <v>0</v>
      </c>
      <c r="L38" s="255">
        <v>4</v>
      </c>
      <c r="M38" s="271">
        <v>0</v>
      </c>
      <c r="N38" s="271">
        <v>0</v>
      </c>
      <c r="O38" s="271">
        <v>0</v>
      </c>
      <c r="P38" s="270">
        <v>1</v>
      </c>
      <c r="Q38" s="271">
        <v>0</v>
      </c>
      <c r="R38" s="271">
        <v>0</v>
      </c>
      <c r="S38" s="271">
        <v>0</v>
      </c>
      <c r="T38" s="271">
        <v>0</v>
      </c>
      <c r="U38" s="271">
        <v>0</v>
      </c>
      <c r="V38" s="271">
        <v>0</v>
      </c>
      <c r="X38" s="273"/>
      <c r="Y38" s="273"/>
      <c r="Z38" s="273"/>
      <c r="AA38" s="272"/>
      <c r="AB38" s="273" t="str">
        <f t="shared" ref="AB38:AG38" si="29">IF(F38=0,"",LN(F38))</f>
        <v/>
      </c>
      <c r="AC38" s="273" t="str">
        <f t="shared" si="29"/>
        <v/>
      </c>
      <c r="AD38" s="273" t="str">
        <f t="shared" si="29"/>
        <v/>
      </c>
      <c r="AE38" s="273" t="str">
        <f t="shared" si="29"/>
        <v/>
      </c>
      <c r="AF38" s="273" t="str">
        <f t="shared" si="29"/>
        <v/>
      </c>
      <c r="AG38" s="273" t="str">
        <f t="shared" si="29"/>
        <v/>
      </c>
      <c r="AI38" s="273"/>
      <c r="AJ38" s="273"/>
      <c r="AK38" s="273"/>
      <c r="AL38" s="272"/>
      <c r="AM38" s="273" t="str">
        <f t="shared" ref="AM38:AR38" si="30">IF(Q38=0,"",LN(Q38))</f>
        <v/>
      </c>
      <c r="AN38" s="273" t="str">
        <f t="shared" si="30"/>
        <v/>
      </c>
      <c r="AO38" s="273" t="str">
        <f t="shared" si="30"/>
        <v/>
      </c>
      <c r="AP38" s="273" t="str">
        <f t="shared" si="30"/>
        <v/>
      </c>
      <c r="AQ38" s="273" t="str">
        <f t="shared" si="30"/>
        <v/>
      </c>
      <c r="AR38" s="273" t="str">
        <f t="shared" si="30"/>
        <v/>
      </c>
    </row>
    <row r="39" spans="1:44" x14ac:dyDescent="0.25">
      <c r="A39" s="255">
        <v>5</v>
      </c>
      <c r="B39" s="271">
        <v>0</v>
      </c>
      <c r="C39" s="271">
        <v>0</v>
      </c>
      <c r="D39" s="271">
        <v>0</v>
      </c>
      <c r="E39" s="271">
        <v>0</v>
      </c>
      <c r="F39" s="270">
        <v>1</v>
      </c>
      <c r="G39" s="271">
        <v>0</v>
      </c>
      <c r="H39" s="271">
        <v>0</v>
      </c>
      <c r="I39" s="271">
        <v>0</v>
      </c>
      <c r="J39" s="271">
        <v>0</v>
      </c>
      <c r="K39" s="271">
        <v>0</v>
      </c>
      <c r="L39" s="255">
        <v>5</v>
      </c>
      <c r="M39" s="271">
        <v>0</v>
      </c>
      <c r="N39" s="271">
        <v>0</v>
      </c>
      <c r="O39" s="271">
        <v>0</v>
      </c>
      <c r="P39" s="271">
        <v>0</v>
      </c>
      <c r="Q39" s="270">
        <v>1</v>
      </c>
      <c r="R39" s="271">
        <v>0</v>
      </c>
      <c r="S39" s="271">
        <v>0</v>
      </c>
      <c r="T39" s="271">
        <v>0</v>
      </c>
      <c r="U39" s="271">
        <v>0</v>
      </c>
      <c r="V39" s="271">
        <v>0</v>
      </c>
      <c r="X39" s="273"/>
      <c r="Y39" s="273"/>
      <c r="Z39" s="273"/>
      <c r="AA39" s="273"/>
      <c r="AB39" s="272"/>
      <c r="AC39" s="273" t="str">
        <f>IF(G39=0,"",LN(G39))</f>
        <v/>
      </c>
      <c r="AD39" s="273" t="str">
        <f>IF(H39=0,"",LN(H39))</f>
        <v/>
      </c>
      <c r="AE39" s="273" t="str">
        <f>IF(I39=0,"",LN(I39))</f>
        <v/>
      </c>
      <c r="AF39" s="273" t="str">
        <f>IF(J39=0,"",LN(J39))</f>
        <v/>
      </c>
      <c r="AG39" s="273" t="str">
        <f>IF(K39=0,"",LN(K39))</f>
        <v/>
      </c>
      <c r="AI39" s="273"/>
      <c r="AJ39" s="273"/>
      <c r="AK39" s="273"/>
      <c r="AL39" s="273"/>
      <c r="AM39" s="272"/>
      <c r="AN39" s="273" t="str">
        <f>IF(R39=0,"",LN(R39))</f>
        <v/>
      </c>
      <c r="AO39" s="273" t="str">
        <f>IF(S39=0,"",LN(S39))</f>
        <v/>
      </c>
      <c r="AP39" s="273" t="str">
        <f>IF(T39=0,"",LN(T39))</f>
        <v/>
      </c>
      <c r="AQ39" s="273" t="str">
        <f>IF(U39=0,"",LN(U39))</f>
        <v/>
      </c>
      <c r="AR39" s="273" t="str">
        <f>IF(V39=0,"",LN(V39))</f>
        <v/>
      </c>
    </row>
    <row r="40" spans="1:44" x14ac:dyDescent="0.25">
      <c r="A40" s="255">
        <v>6</v>
      </c>
      <c r="B40" s="271">
        <v>0</v>
      </c>
      <c r="C40" s="271">
        <v>0</v>
      </c>
      <c r="D40" s="271">
        <v>0</v>
      </c>
      <c r="E40" s="271">
        <v>0</v>
      </c>
      <c r="F40" s="271">
        <v>0</v>
      </c>
      <c r="G40" s="270">
        <v>1</v>
      </c>
      <c r="H40" s="271">
        <v>0</v>
      </c>
      <c r="I40" s="271">
        <v>0</v>
      </c>
      <c r="J40" s="271">
        <v>0</v>
      </c>
      <c r="K40" s="271">
        <v>0</v>
      </c>
      <c r="L40" s="255">
        <v>6</v>
      </c>
      <c r="M40" s="271">
        <v>0</v>
      </c>
      <c r="N40" s="271">
        <v>0</v>
      </c>
      <c r="O40" s="271">
        <v>0</v>
      </c>
      <c r="P40" s="271">
        <v>0</v>
      </c>
      <c r="Q40" s="271">
        <v>0</v>
      </c>
      <c r="R40" s="270">
        <v>1</v>
      </c>
      <c r="S40" s="271">
        <v>0</v>
      </c>
      <c r="T40" s="271">
        <v>0</v>
      </c>
      <c r="U40" s="271">
        <v>0</v>
      </c>
      <c r="V40" s="271">
        <v>0</v>
      </c>
      <c r="X40" s="273"/>
      <c r="Y40" s="273"/>
      <c r="Z40" s="273"/>
      <c r="AA40" s="273"/>
      <c r="AB40" s="273"/>
      <c r="AC40" s="272"/>
      <c r="AD40" s="273" t="str">
        <f>IF(H40=0,"",LN(H40))</f>
        <v/>
      </c>
      <c r="AE40" s="273" t="str">
        <f>IF(I40=0,"",LN(I40))</f>
        <v/>
      </c>
      <c r="AF40" s="273" t="str">
        <f>IF(J40=0,"",LN(J40))</f>
        <v/>
      </c>
      <c r="AG40" s="273" t="str">
        <f>IF(K40=0,"",LN(K40))</f>
        <v/>
      </c>
      <c r="AI40" s="273"/>
      <c r="AJ40" s="273"/>
      <c r="AK40" s="273"/>
      <c r="AL40" s="273"/>
      <c r="AM40" s="273"/>
      <c r="AN40" s="272"/>
      <c r="AO40" s="273" t="str">
        <f>IF(S40=0,"",LN(S40))</f>
        <v/>
      </c>
      <c r="AP40" s="273" t="str">
        <f>IF(T40=0,"",LN(T40))</f>
        <v/>
      </c>
      <c r="AQ40" s="273" t="str">
        <f>IF(U40=0,"",LN(U40))</f>
        <v/>
      </c>
      <c r="AR40" s="273" t="str">
        <f>IF(V40=0,"",LN(V40))</f>
        <v/>
      </c>
    </row>
    <row r="41" spans="1:44" x14ac:dyDescent="0.25">
      <c r="A41" s="255">
        <v>7</v>
      </c>
      <c r="B41" s="271">
        <v>0</v>
      </c>
      <c r="C41" s="271">
        <v>0</v>
      </c>
      <c r="D41" s="271">
        <v>0</v>
      </c>
      <c r="E41" s="271">
        <v>0</v>
      </c>
      <c r="F41" s="271">
        <v>0</v>
      </c>
      <c r="G41" s="271">
        <v>0</v>
      </c>
      <c r="H41" s="270">
        <v>1</v>
      </c>
      <c r="I41" s="271">
        <v>0</v>
      </c>
      <c r="J41" s="271">
        <v>0</v>
      </c>
      <c r="K41" s="271">
        <v>0</v>
      </c>
      <c r="L41" s="255">
        <v>7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270">
        <v>1</v>
      </c>
      <c r="T41" s="271">
        <v>0</v>
      </c>
      <c r="U41" s="271">
        <v>0</v>
      </c>
      <c r="V41" s="271">
        <v>0</v>
      </c>
      <c r="X41" s="273"/>
      <c r="Y41" s="273"/>
      <c r="Z41" s="273"/>
      <c r="AA41" s="273"/>
      <c r="AB41" s="273"/>
      <c r="AC41" s="273"/>
      <c r="AD41" s="272"/>
      <c r="AE41" s="273" t="str">
        <f>IF(I41=0,"",LN(I41))</f>
        <v/>
      </c>
      <c r="AF41" s="273" t="str">
        <f>IF(J41=0,"",LN(J41))</f>
        <v/>
      </c>
      <c r="AG41" s="273" t="str">
        <f>IF(K41=0,"",LN(K41))</f>
        <v/>
      </c>
      <c r="AI41" s="273"/>
      <c r="AJ41" s="273"/>
      <c r="AK41" s="273"/>
      <c r="AL41" s="273"/>
      <c r="AM41" s="273"/>
      <c r="AN41" s="273"/>
      <c r="AO41" s="272"/>
      <c r="AP41" s="273" t="str">
        <f>IF(T41=0,"",LN(T41))</f>
        <v/>
      </c>
      <c r="AQ41" s="273" t="str">
        <f>IF(U41=0,"",LN(U41))</f>
        <v/>
      </c>
      <c r="AR41" s="273" t="str">
        <f>IF(V41=0,"",LN(V41))</f>
        <v/>
      </c>
    </row>
    <row r="42" spans="1:44" x14ac:dyDescent="0.25">
      <c r="A42" s="255">
        <v>8</v>
      </c>
      <c r="B42" s="271">
        <v>0</v>
      </c>
      <c r="C42" s="271">
        <v>0</v>
      </c>
      <c r="D42" s="271">
        <v>0</v>
      </c>
      <c r="E42" s="271">
        <v>0</v>
      </c>
      <c r="F42" s="271">
        <v>0</v>
      </c>
      <c r="G42" s="271">
        <v>0</v>
      </c>
      <c r="H42" s="271">
        <v>0</v>
      </c>
      <c r="I42" s="270">
        <v>1</v>
      </c>
      <c r="J42" s="271">
        <v>0</v>
      </c>
      <c r="K42" s="271">
        <v>0</v>
      </c>
      <c r="L42" s="255">
        <v>8</v>
      </c>
      <c r="M42" s="271">
        <v>0</v>
      </c>
      <c r="N42" s="271">
        <v>0</v>
      </c>
      <c r="O42" s="271">
        <v>0</v>
      </c>
      <c r="P42" s="271">
        <v>0</v>
      </c>
      <c r="Q42" s="271">
        <v>0</v>
      </c>
      <c r="R42" s="271">
        <v>0</v>
      </c>
      <c r="S42" s="271">
        <v>0</v>
      </c>
      <c r="T42" s="270">
        <v>1</v>
      </c>
      <c r="U42" s="271">
        <v>0</v>
      </c>
      <c r="V42" s="271">
        <v>0</v>
      </c>
      <c r="X42" s="273"/>
      <c r="Y42" s="273"/>
      <c r="Z42" s="273"/>
      <c r="AA42" s="273"/>
      <c r="AB42" s="273"/>
      <c r="AC42" s="273"/>
      <c r="AD42" s="273"/>
      <c r="AE42" s="272"/>
      <c r="AF42" s="273" t="str">
        <f>IF(J42=0,"",LN(J42))</f>
        <v/>
      </c>
      <c r="AG42" s="273" t="str">
        <f>IF(K42=0,"",LN(K42))</f>
        <v/>
      </c>
      <c r="AI42" s="273"/>
      <c r="AJ42" s="273"/>
      <c r="AK42" s="273"/>
      <c r="AL42" s="273"/>
      <c r="AM42" s="273"/>
      <c r="AN42" s="273"/>
      <c r="AO42" s="273"/>
      <c r="AP42" s="272"/>
      <c r="AQ42" s="273" t="str">
        <f>IF(U42=0,"",LN(U42))</f>
        <v/>
      </c>
      <c r="AR42" s="273" t="str">
        <f>IF(V42=0,"",LN(V42))</f>
        <v/>
      </c>
    </row>
    <row r="43" spans="1:44" x14ac:dyDescent="0.25">
      <c r="A43" s="255">
        <v>9</v>
      </c>
      <c r="B43" s="271">
        <v>0</v>
      </c>
      <c r="C43" s="271">
        <v>0</v>
      </c>
      <c r="D43" s="271">
        <v>0</v>
      </c>
      <c r="E43" s="271">
        <v>0</v>
      </c>
      <c r="F43" s="271">
        <v>0</v>
      </c>
      <c r="G43" s="271">
        <v>0</v>
      </c>
      <c r="H43" s="271">
        <v>0</v>
      </c>
      <c r="I43" s="271">
        <v>0</v>
      </c>
      <c r="J43" s="270">
        <v>1</v>
      </c>
      <c r="K43" s="271">
        <v>0</v>
      </c>
      <c r="L43" s="255">
        <v>9</v>
      </c>
      <c r="M43" s="271">
        <v>0</v>
      </c>
      <c r="N43" s="271">
        <v>0</v>
      </c>
      <c r="O43" s="271">
        <v>0</v>
      </c>
      <c r="P43" s="271">
        <v>0</v>
      </c>
      <c r="Q43" s="271">
        <v>0</v>
      </c>
      <c r="R43" s="271">
        <v>0</v>
      </c>
      <c r="S43" s="271">
        <v>0</v>
      </c>
      <c r="T43" s="271">
        <v>0</v>
      </c>
      <c r="U43" s="270">
        <v>1</v>
      </c>
      <c r="V43" s="271">
        <v>0</v>
      </c>
      <c r="X43" s="273"/>
      <c r="Y43" s="273"/>
      <c r="Z43" s="273"/>
      <c r="AA43" s="273"/>
      <c r="AB43" s="273"/>
      <c r="AC43" s="273"/>
      <c r="AD43" s="273"/>
      <c r="AE43" s="273"/>
      <c r="AF43" s="272"/>
      <c r="AG43" s="273" t="str">
        <f>IF(K43=0,"",LN(K43))</f>
        <v/>
      </c>
      <c r="AI43" s="273"/>
      <c r="AJ43" s="273"/>
      <c r="AK43" s="273"/>
      <c r="AL43" s="273"/>
      <c r="AM43" s="273"/>
      <c r="AN43" s="273"/>
      <c r="AO43" s="273"/>
      <c r="AP43" s="273"/>
      <c r="AQ43" s="272"/>
      <c r="AR43" s="273" t="str">
        <f>IF(V43=0,"",LN(V43))</f>
        <v/>
      </c>
    </row>
    <row r="44" spans="1:44" x14ac:dyDescent="0.25">
      <c r="A44" s="255">
        <v>10</v>
      </c>
      <c r="B44" s="271">
        <v>0</v>
      </c>
      <c r="C44" s="271">
        <v>0</v>
      </c>
      <c r="D44" s="271">
        <v>0</v>
      </c>
      <c r="E44" s="271">
        <v>0</v>
      </c>
      <c r="F44" s="271">
        <v>0</v>
      </c>
      <c r="G44" s="271">
        <v>0</v>
      </c>
      <c r="H44" s="271">
        <v>0</v>
      </c>
      <c r="I44" s="271">
        <v>0</v>
      </c>
      <c r="J44" s="271">
        <v>0</v>
      </c>
      <c r="K44" s="270">
        <v>1</v>
      </c>
      <c r="L44" s="255">
        <v>10</v>
      </c>
      <c r="M44" s="271">
        <v>0</v>
      </c>
      <c r="N44" s="271">
        <v>0</v>
      </c>
      <c r="O44" s="271">
        <v>0</v>
      </c>
      <c r="P44" s="271">
        <v>0</v>
      </c>
      <c r="Q44" s="271">
        <v>0</v>
      </c>
      <c r="R44" s="271">
        <v>0</v>
      </c>
      <c r="S44" s="271">
        <v>0</v>
      </c>
      <c r="T44" s="271">
        <v>0</v>
      </c>
      <c r="U44" s="271">
        <v>0</v>
      </c>
      <c r="V44" s="270">
        <v>1</v>
      </c>
      <c r="X44" s="273"/>
      <c r="Y44" s="273"/>
      <c r="Z44" s="273"/>
      <c r="AA44" s="273"/>
      <c r="AB44" s="273"/>
      <c r="AC44" s="273"/>
      <c r="AD44" s="273"/>
      <c r="AE44" s="273"/>
      <c r="AF44" s="273"/>
      <c r="AG44" s="272"/>
      <c r="AI44" s="273"/>
      <c r="AJ44" s="273"/>
      <c r="AK44" s="273"/>
      <c r="AL44" s="273"/>
      <c r="AM44" s="273"/>
      <c r="AN44" s="273"/>
      <c r="AO44" s="273"/>
      <c r="AP44" s="273"/>
      <c r="AQ44" s="273"/>
      <c r="AR44" s="272"/>
    </row>
    <row r="46" spans="1:44" ht="13" x14ac:dyDescent="0.3">
      <c r="A46" s="263">
        <v>6</v>
      </c>
      <c r="B46" s="336" t="str">
        <f ca="1">INDIRECT(ADDRESS(17,2,1,1,"in"&amp;TEXT(A46,"@")))</f>
        <v>Participant 6</v>
      </c>
      <c r="C46" s="336"/>
      <c r="D46" s="336"/>
      <c r="E46" s="336"/>
      <c r="F46" s="336"/>
      <c r="G46" s="336"/>
      <c r="H46" s="264">
        <f ca="1">INDIRECT(ADDRESS(17,6,1,1,"in"&amp;TEXT(A46,"@")))</f>
        <v>1</v>
      </c>
      <c r="I46" s="265"/>
      <c r="J46" s="335">
        <f ca="1">INDIRECT(ADDRESS(17,7,1,1,"in"&amp;TEXT(A46,"@")))</f>
        <v>0</v>
      </c>
      <c r="K46" s="335"/>
      <c r="L46" s="263">
        <v>7</v>
      </c>
      <c r="M46" s="336" t="str">
        <f ca="1">INDIRECT(ADDRESS(17,2,1,1,"in"&amp;TEXT(L46,"@")))</f>
        <v>Participant 7</v>
      </c>
      <c r="N46" s="336"/>
      <c r="O46" s="336"/>
      <c r="P46" s="336"/>
      <c r="Q46" s="336"/>
      <c r="R46" s="336"/>
      <c r="S46" s="264">
        <f ca="1">INDIRECT(ADDRESS(17,6,1,1,"in"&amp;TEXT(L46,"@")))</f>
        <v>1</v>
      </c>
      <c r="T46" s="265"/>
      <c r="U46" s="335">
        <f ca="1">INDIRECT(ADDRESS(17,7,1,1,"in"&amp;TEXT(L46,"@")))</f>
        <v>0</v>
      </c>
      <c r="V46" s="335"/>
      <c r="X46" s="336"/>
      <c r="Y46" s="336"/>
      <c r="Z46" s="336"/>
      <c r="AA46" s="336"/>
      <c r="AB46" s="336"/>
      <c r="AC46" s="336"/>
      <c r="AD46" s="267">
        <f>IF(A46&gt;$N$4,0,IF(H46=0,1,H46))</f>
        <v>0</v>
      </c>
      <c r="AE46" s="267"/>
      <c r="AF46" s="335"/>
      <c r="AG46" s="335"/>
      <c r="AH46" s="263"/>
      <c r="AI46" s="336"/>
      <c r="AJ46" s="336"/>
      <c r="AK46" s="336"/>
      <c r="AL46" s="336"/>
      <c r="AM46" s="336"/>
      <c r="AN46" s="336"/>
      <c r="AO46" s="267">
        <f>IF(L46&gt;$N$4,0,IF(S46=0,1,S46))</f>
        <v>0</v>
      </c>
      <c r="AP46" s="267"/>
      <c r="AQ46" s="335"/>
      <c r="AR46" s="335"/>
    </row>
    <row r="47" spans="1:44" x14ac:dyDescent="0.25">
      <c r="B47" s="268">
        <v>1</v>
      </c>
      <c r="C47" s="268">
        <v>2</v>
      </c>
      <c r="D47" s="268">
        <v>3</v>
      </c>
      <c r="E47" s="268">
        <v>4</v>
      </c>
      <c r="F47" s="268">
        <v>5</v>
      </c>
      <c r="G47" s="268">
        <v>6</v>
      </c>
      <c r="H47" s="268">
        <v>7</v>
      </c>
      <c r="I47" s="268">
        <v>8</v>
      </c>
      <c r="J47" s="255">
        <v>9</v>
      </c>
      <c r="K47" s="255">
        <v>10</v>
      </c>
      <c r="M47" s="268">
        <v>1</v>
      </c>
      <c r="N47" s="268">
        <v>2</v>
      </c>
      <c r="O47" s="268">
        <v>3</v>
      </c>
      <c r="P47" s="268">
        <v>4</v>
      </c>
      <c r="Q47" s="268">
        <v>5</v>
      </c>
      <c r="R47" s="268">
        <v>6</v>
      </c>
      <c r="S47" s="268">
        <v>7</v>
      </c>
      <c r="T47" s="268">
        <v>8</v>
      </c>
      <c r="U47" s="255">
        <v>9</v>
      </c>
      <c r="V47" s="255">
        <v>10</v>
      </c>
      <c r="X47" s="268"/>
      <c r="Y47" s="268"/>
      <c r="Z47" s="268"/>
      <c r="AA47" s="268"/>
      <c r="AB47" s="268"/>
      <c r="AC47" s="268"/>
      <c r="AD47" s="268"/>
      <c r="AE47" s="268"/>
      <c r="AI47" s="268"/>
      <c r="AJ47" s="268"/>
      <c r="AK47" s="268"/>
      <c r="AL47" s="268"/>
      <c r="AM47" s="268"/>
      <c r="AN47" s="268"/>
      <c r="AO47" s="268"/>
      <c r="AP47" s="268"/>
    </row>
    <row r="48" spans="1:44" x14ac:dyDescent="0.25">
      <c r="A48" s="255">
        <v>1</v>
      </c>
      <c r="B48" s="270">
        <f t="array" ref="B48:K57">Matrix6</f>
        <v>1</v>
      </c>
      <c r="C48" s="271">
        <v>1</v>
      </c>
      <c r="D48" s="271">
        <v>1</v>
      </c>
      <c r="E48" s="271">
        <v>0</v>
      </c>
      <c r="F48" s="271">
        <v>0</v>
      </c>
      <c r="G48" s="271">
        <v>0</v>
      </c>
      <c r="H48" s="271">
        <v>0</v>
      </c>
      <c r="I48" s="271">
        <v>0</v>
      </c>
      <c r="J48" s="271">
        <v>0</v>
      </c>
      <c r="K48" s="271">
        <v>0</v>
      </c>
      <c r="L48" s="255">
        <v>1</v>
      </c>
      <c r="M48" s="270">
        <f t="array" ref="M48:V57">Matrix7</f>
        <v>1</v>
      </c>
      <c r="N48" s="271">
        <v>1</v>
      </c>
      <c r="O48" s="271">
        <v>1</v>
      </c>
      <c r="P48" s="271">
        <v>0</v>
      </c>
      <c r="Q48" s="271">
        <v>0</v>
      </c>
      <c r="R48" s="271">
        <v>0</v>
      </c>
      <c r="S48" s="271">
        <v>0</v>
      </c>
      <c r="T48" s="271">
        <v>0</v>
      </c>
      <c r="U48" s="271">
        <v>0</v>
      </c>
      <c r="V48" s="271">
        <v>0</v>
      </c>
      <c r="X48" s="272"/>
      <c r="Y48" s="273">
        <f t="shared" ref="Y48:AG48" si="31">IF(C48=0,"",LN(C48))</f>
        <v>0</v>
      </c>
      <c r="Z48" s="273">
        <f t="shared" si="31"/>
        <v>0</v>
      </c>
      <c r="AA48" s="273" t="str">
        <f t="shared" si="31"/>
        <v/>
      </c>
      <c r="AB48" s="273" t="str">
        <f t="shared" si="31"/>
        <v/>
      </c>
      <c r="AC48" s="273" t="str">
        <f t="shared" si="31"/>
        <v/>
      </c>
      <c r="AD48" s="273" t="str">
        <f t="shared" si="31"/>
        <v/>
      </c>
      <c r="AE48" s="273" t="str">
        <f t="shared" si="31"/>
        <v/>
      </c>
      <c r="AF48" s="273" t="str">
        <f t="shared" si="31"/>
        <v/>
      </c>
      <c r="AG48" s="273" t="str">
        <f t="shared" si="31"/>
        <v/>
      </c>
      <c r="AI48" s="272"/>
      <c r="AJ48" s="273">
        <f t="shared" ref="AJ48:AR48" si="32">IF(N48=0,"",LN(N48))</f>
        <v>0</v>
      </c>
      <c r="AK48" s="273">
        <f t="shared" si="32"/>
        <v>0</v>
      </c>
      <c r="AL48" s="273" t="str">
        <f t="shared" si="32"/>
        <v/>
      </c>
      <c r="AM48" s="273" t="str">
        <f t="shared" si="32"/>
        <v/>
      </c>
      <c r="AN48" s="273" t="str">
        <f t="shared" si="32"/>
        <v/>
      </c>
      <c r="AO48" s="273" t="str">
        <f t="shared" si="32"/>
        <v/>
      </c>
      <c r="AP48" s="273" t="str">
        <f t="shared" si="32"/>
        <v/>
      </c>
      <c r="AQ48" s="273" t="str">
        <f t="shared" si="32"/>
        <v/>
      </c>
      <c r="AR48" s="273" t="str">
        <f t="shared" si="32"/>
        <v/>
      </c>
    </row>
    <row r="49" spans="1:44" x14ac:dyDescent="0.25">
      <c r="A49" s="255">
        <v>2</v>
      </c>
      <c r="B49" s="271">
        <v>1</v>
      </c>
      <c r="C49" s="270">
        <v>1</v>
      </c>
      <c r="D49" s="271">
        <v>1</v>
      </c>
      <c r="E49" s="271">
        <v>0</v>
      </c>
      <c r="F49" s="271">
        <v>0</v>
      </c>
      <c r="G49" s="271">
        <v>0</v>
      </c>
      <c r="H49" s="271">
        <v>0</v>
      </c>
      <c r="I49" s="271">
        <v>0</v>
      </c>
      <c r="J49" s="271">
        <v>0</v>
      </c>
      <c r="K49" s="271">
        <v>0</v>
      </c>
      <c r="L49" s="255">
        <v>2</v>
      </c>
      <c r="M49" s="271">
        <v>1</v>
      </c>
      <c r="N49" s="270">
        <v>1</v>
      </c>
      <c r="O49" s="271">
        <v>1</v>
      </c>
      <c r="P49" s="271">
        <v>0</v>
      </c>
      <c r="Q49" s="271">
        <v>0</v>
      </c>
      <c r="R49" s="271">
        <v>0</v>
      </c>
      <c r="S49" s="271">
        <v>0</v>
      </c>
      <c r="T49" s="271">
        <v>0</v>
      </c>
      <c r="U49" s="271">
        <v>0</v>
      </c>
      <c r="V49" s="271">
        <v>0</v>
      </c>
      <c r="X49" s="273"/>
      <c r="Y49" s="272"/>
      <c r="Z49" s="273">
        <f t="shared" ref="Z49:AG49" si="33">IF(D49=0,"",LN(D49))</f>
        <v>0</v>
      </c>
      <c r="AA49" s="273" t="str">
        <f t="shared" si="33"/>
        <v/>
      </c>
      <c r="AB49" s="273" t="str">
        <f t="shared" si="33"/>
        <v/>
      </c>
      <c r="AC49" s="273" t="str">
        <f t="shared" si="33"/>
        <v/>
      </c>
      <c r="AD49" s="273" t="str">
        <f t="shared" si="33"/>
        <v/>
      </c>
      <c r="AE49" s="273" t="str">
        <f t="shared" si="33"/>
        <v/>
      </c>
      <c r="AF49" s="273" t="str">
        <f t="shared" si="33"/>
        <v/>
      </c>
      <c r="AG49" s="273" t="str">
        <f t="shared" si="33"/>
        <v/>
      </c>
      <c r="AI49" s="273"/>
      <c r="AJ49" s="272"/>
      <c r="AK49" s="273">
        <f t="shared" ref="AK49:AR49" si="34">IF(O49=0,"",LN(O49))</f>
        <v>0</v>
      </c>
      <c r="AL49" s="273" t="str">
        <f t="shared" si="34"/>
        <v/>
      </c>
      <c r="AM49" s="273" t="str">
        <f t="shared" si="34"/>
        <v/>
      </c>
      <c r="AN49" s="273" t="str">
        <f t="shared" si="34"/>
        <v/>
      </c>
      <c r="AO49" s="273" t="str">
        <f t="shared" si="34"/>
        <v/>
      </c>
      <c r="AP49" s="273" t="str">
        <f t="shared" si="34"/>
        <v/>
      </c>
      <c r="AQ49" s="273" t="str">
        <f t="shared" si="34"/>
        <v/>
      </c>
      <c r="AR49" s="273" t="str">
        <f t="shared" si="34"/>
        <v/>
      </c>
    </row>
    <row r="50" spans="1:44" x14ac:dyDescent="0.25">
      <c r="A50" s="255">
        <v>3</v>
      </c>
      <c r="B50" s="271">
        <v>1</v>
      </c>
      <c r="C50" s="271">
        <v>1</v>
      </c>
      <c r="D50" s="270">
        <v>1</v>
      </c>
      <c r="E50" s="271">
        <v>0</v>
      </c>
      <c r="F50" s="271">
        <v>0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55">
        <v>3</v>
      </c>
      <c r="M50" s="271">
        <v>1</v>
      </c>
      <c r="N50" s="271">
        <v>1</v>
      </c>
      <c r="O50" s="270">
        <v>1</v>
      </c>
      <c r="P50" s="271">
        <v>0</v>
      </c>
      <c r="Q50" s="271">
        <v>0</v>
      </c>
      <c r="R50" s="271">
        <v>0</v>
      </c>
      <c r="S50" s="271">
        <v>0</v>
      </c>
      <c r="T50" s="271">
        <v>0</v>
      </c>
      <c r="U50" s="271">
        <v>0</v>
      </c>
      <c r="V50" s="271">
        <v>0</v>
      </c>
      <c r="X50" s="273"/>
      <c r="Y50" s="273"/>
      <c r="Z50" s="272"/>
      <c r="AA50" s="273" t="str">
        <f t="shared" ref="AA50:AG50" si="35">IF(E50=0,"",LN(E50))</f>
        <v/>
      </c>
      <c r="AB50" s="273" t="str">
        <f t="shared" si="35"/>
        <v/>
      </c>
      <c r="AC50" s="273" t="str">
        <f t="shared" si="35"/>
        <v/>
      </c>
      <c r="AD50" s="273" t="str">
        <f t="shared" si="35"/>
        <v/>
      </c>
      <c r="AE50" s="273" t="str">
        <f t="shared" si="35"/>
        <v/>
      </c>
      <c r="AF50" s="273" t="str">
        <f t="shared" si="35"/>
        <v/>
      </c>
      <c r="AG50" s="273" t="str">
        <f t="shared" si="35"/>
        <v/>
      </c>
      <c r="AI50" s="273"/>
      <c r="AJ50" s="273"/>
      <c r="AK50" s="272"/>
      <c r="AL50" s="273" t="str">
        <f t="shared" ref="AL50:AR50" si="36">IF(P50=0,"",LN(P50))</f>
        <v/>
      </c>
      <c r="AM50" s="273" t="str">
        <f t="shared" si="36"/>
        <v/>
      </c>
      <c r="AN50" s="273" t="str">
        <f t="shared" si="36"/>
        <v/>
      </c>
      <c r="AO50" s="273" t="str">
        <f t="shared" si="36"/>
        <v/>
      </c>
      <c r="AP50" s="273" t="str">
        <f t="shared" si="36"/>
        <v/>
      </c>
      <c r="AQ50" s="273" t="str">
        <f t="shared" si="36"/>
        <v/>
      </c>
      <c r="AR50" s="273" t="str">
        <f t="shared" si="36"/>
        <v/>
      </c>
    </row>
    <row r="51" spans="1:44" x14ac:dyDescent="0.25">
      <c r="A51" s="255">
        <v>4</v>
      </c>
      <c r="B51" s="271">
        <v>0</v>
      </c>
      <c r="C51" s="271">
        <v>0</v>
      </c>
      <c r="D51" s="271">
        <v>0</v>
      </c>
      <c r="E51" s="270">
        <v>1</v>
      </c>
      <c r="F51" s="271">
        <v>0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55">
        <v>4</v>
      </c>
      <c r="M51" s="271">
        <v>0</v>
      </c>
      <c r="N51" s="271">
        <v>0</v>
      </c>
      <c r="O51" s="271">
        <v>0</v>
      </c>
      <c r="P51" s="270">
        <v>1</v>
      </c>
      <c r="Q51" s="271">
        <v>0</v>
      </c>
      <c r="R51" s="271">
        <v>0</v>
      </c>
      <c r="S51" s="271">
        <v>0</v>
      </c>
      <c r="T51" s="271">
        <v>0</v>
      </c>
      <c r="U51" s="271">
        <v>0</v>
      </c>
      <c r="V51" s="271">
        <v>0</v>
      </c>
      <c r="X51" s="273"/>
      <c r="Y51" s="273"/>
      <c r="Z51" s="273"/>
      <c r="AA51" s="272"/>
      <c r="AB51" s="273" t="str">
        <f t="shared" ref="AB51:AG51" si="37">IF(F51=0,"",LN(F51))</f>
        <v/>
      </c>
      <c r="AC51" s="273" t="str">
        <f t="shared" si="37"/>
        <v/>
      </c>
      <c r="AD51" s="273" t="str">
        <f t="shared" si="37"/>
        <v/>
      </c>
      <c r="AE51" s="273" t="str">
        <f t="shared" si="37"/>
        <v/>
      </c>
      <c r="AF51" s="273" t="str">
        <f t="shared" si="37"/>
        <v/>
      </c>
      <c r="AG51" s="273" t="str">
        <f t="shared" si="37"/>
        <v/>
      </c>
      <c r="AI51" s="273"/>
      <c r="AJ51" s="273"/>
      <c r="AK51" s="273"/>
      <c r="AL51" s="272"/>
      <c r="AM51" s="273" t="str">
        <f t="shared" ref="AM51:AR51" si="38">IF(Q51=0,"",LN(Q51))</f>
        <v/>
      </c>
      <c r="AN51" s="273" t="str">
        <f t="shared" si="38"/>
        <v/>
      </c>
      <c r="AO51" s="273" t="str">
        <f t="shared" si="38"/>
        <v/>
      </c>
      <c r="AP51" s="273" t="str">
        <f t="shared" si="38"/>
        <v/>
      </c>
      <c r="AQ51" s="273" t="str">
        <f t="shared" si="38"/>
        <v/>
      </c>
      <c r="AR51" s="273" t="str">
        <f t="shared" si="38"/>
        <v/>
      </c>
    </row>
    <row r="52" spans="1:44" x14ac:dyDescent="0.25">
      <c r="A52" s="255">
        <v>5</v>
      </c>
      <c r="B52" s="271">
        <v>0</v>
      </c>
      <c r="C52" s="271">
        <v>0</v>
      </c>
      <c r="D52" s="271">
        <v>0</v>
      </c>
      <c r="E52" s="271">
        <v>0</v>
      </c>
      <c r="F52" s="270">
        <v>1</v>
      </c>
      <c r="G52" s="271">
        <v>0</v>
      </c>
      <c r="H52" s="271">
        <v>0</v>
      </c>
      <c r="I52" s="271">
        <v>0</v>
      </c>
      <c r="J52" s="271">
        <v>0</v>
      </c>
      <c r="K52" s="271">
        <v>0</v>
      </c>
      <c r="L52" s="255">
        <v>5</v>
      </c>
      <c r="M52" s="271">
        <v>0</v>
      </c>
      <c r="N52" s="271">
        <v>0</v>
      </c>
      <c r="O52" s="271">
        <v>0</v>
      </c>
      <c r="P52" s="271">
        <v>0</v>
      </c>
      <c r="Q52" s="270">
        <v>1</v>
      </c>
      <c r="R52" s="271">
        <v>0</v>
      </c>
      <c r="S52" s="271">
        <v>0</v>
      </c>
      <c r="T52" s="271">
        <v>0</v>
      </c>
      <c r="U52" s="271">
        <v>0</v>
      </c>
      <c r="V52" s="271">
        <v>0</v>
      </c>
      <c r="X52" s="273"/>
      <c r="Y52" s="273"/>
      <c r="Z52" s="273"/>
      <c r="AA52" s="273"/>
      <c r="AB52" s="272"/>
      <c r="AC52" s="273" t="str">
        <f>IF(G52=0,"",LN(G52))</f>
        <v/>
      </c>
      <c r="AD52" s="273" t="str">
        <f>IF(H52=0,"",LN(H52))</f>
        <v/>
      </c>
      <c r="AE52" s="273" t="str">
        <f>IF(I52=0,"",LN(I52))</f>
        <v/>
      </c>
      <c r="AF52" s="273" t="str">
        <f>IF(J52=0,"",LN(J52))</f>
        <v/>
      </c>
      <c r="AG52" s="273" t="str">
        <f>IF(K52=0,"",LN(K52))</f>
        <v/>
      </c>
      <c r="AI52" s="273"/>
      <c r="AJ52" s="273"/>
      <c r="AK52" s="273"/>
      <c r="AL52" s="273"/>
      <c r="AM52" s="272"/>
      <c r="AN52" s="273" t="str">
        <f>IF(R52=0,"",LN(R52))</f>
        <v/>
      </c>
      <c r="AO52" s="273" t="str">
        <f>IF(S52=0,"",LN(S52))</f>
        <v/>
      </c>
      <c r="AP52" s="273" t="str">
        <f>IF(T52=0,"",LN(T52))</f>
        <v/>
      </c>
      <c r="AQ52" s="273" t="str">
        <f>IF(U52=0,"",LN(U52))</f>
        <v/>
      </c>
      <c r="AR52" s="273" t="str">
        <f>IF(V52=0,"",LN(V52))</f>
        <v/>
      </c>
    </row>
    <row r="53" spans="1:44" x14ac:dyDescent="0.25">
      <c r="A53" s="255">
        <v>6</v>
      </c>
      <c r="B53" s="271">
        <v>0</v>
      </c>
      <c r="C53" s="271">
        <v>0</v>
      </c>
      <c r="D53" s="271">
        <v>0</v>
      </c>
      <c r="E53" s="271">
        <v>0</v>
      </c>
      <c r="F53" s="271">
        <v>0</v>
      </c>
      <c r="G53" s="270">
        <v>1</v>
      </c>
      <c r="H53" s="271">
        <v>0</v>
      </c>
      <c r="I53" s="271">
        <v>0</v>
      </c>
      <c r="J53" s="271">
        <v>0</v>
      </c>
      <c r="K53" s="271">
        <v>0</v>
      </c>
      <c r="L53" s="255">
        <v>6</v>
      </c>
      <c r="M53" s="271">
        <v>0</v>
      </c>
      <c r="N53" s="271">
        <v>0</v>
      </c>
      <c r="O53" s="271">
        <v>0</v>
      </c>
      <c r="P53" s="271">
        <v>0</v>
      </c>
      <c r="Q53" s="271">
        <v>0</v>
      </c>
      <c r="R53" s="270">
        <v>1</v>
      </c>
      <c r="S53" s="271">
        <v>0</v>
      </c>
      <c r="T53" s="271">
        <v>0</v>
      </c>
      <c r="U53" s="271">
        <v>0</v>
      </c>
      <c r="V53" s="271">
        <v>0</v>
      </c>
      <c r="X53" s="273"/>
      <c r="Y53" s="273"/>
      <c r="Z53" s="273"/>
      <c r="AA53" s="273"/>
      <c r="AB53" s="273"/>
      <c r="AC53" s="272"/>
      <c r="AD53" s="273" t="str">
        <f>IF(H53=0,"",LN(H53))</f>
        <v/>
      </c>
      <c r="AE53" s="273" t="str">
        <f>IF(I53=0,"",LN(I53))</f>
        <v/>
      </c>
      <c r="AF53" s="273" t="str">
        <f>IF(J53=0,"",LN(J53))</f>
        <v/>
      </c>
      <c r="AG53" s="273" t="str">
        <f>IF(K53=0,"",LN(K53))</f>
        <v/>
      </c>
      <c r="AI53" s="273"/>
      <c r="AJ53" s="273"/>
      <c r="AK53" s="273"/>
      <c r="AL53" s="273"/>
      <c r="AM53" s="273"/>
      <c r="AN53" s="272"/>
      <c r="AO53" s="273" t="str">
        <f>IF(S53=0,"",LN(S53))</f>
        <v/>
      </c>
      <c r="AP53" s="273" t="str">
        <f>IF(T53=0,"",LN(T53))</f>
        <v/>
      </c>
      <c r="AQ53" s="273" t="str">
        <f>IF(U53=0,"",LN(U53))</f>
        <v/>
      </c>
      <c r="AR53" s="273" t="str">
        <f>IF(V53=0,"",LN(V53))</f>
        <v/>
      </c>
    </row>
    <row r="54" spans="1:44" x14ac:dyDescent="0.25">
      <c r="A54" s="255">
        <v>7</v>
      </c>
      <c r="B54" s="271">
        <v>0</v>
      </c>
      <c r="C54" s="271">
        <v>0</v>
      </c>
      <c r="D54" s="271">
        <v>0</v>
      </c>
      <c r="E54" s="271">
        <v>0</v>
      </c>
      <c r="F54" s="271">
        <v>0</v>
      </c>
      <c r="G54" s="271">
        <v>0</v>
      </c>
      <c r="H54" s="270">
        <v>1</v>
      </c>
      <c r="I54" s="271">
        <v>0</v>
      </c>
      <c r="J54" s="271">
        <v>0</v>
      </c>
      <c r="K54" s="271">
        <v>0</v>
      </c>
      <c r="L54" s="255">
        <v>7</v>
      </c>
      <c r="M54" s="271">
        <v>0</v>
      </c>
      <c r="N54" s="271">
        <v>0</v>
      </c>
      <c r="O54" s="271">
        <v>0</v>
      </c>
      <c r="P54" s="271">
        <v>0</v>
      </c>
      <c r="Q54" s="271">
        <v>0</v>
      </c>
      <c r="R54" s="271">
        <v>0</v>
      </c>
      <c r="S54" s="270">
        <v>1</v>
      </c>
      <c r="T54" s="271">
        <v>0</v>
      </c>
      <c r="U54" s="271">
        <v>0</v>
      </c>
      <c r="V54" s="271">
        <v>0</v>
      </c>
      <c r="X54" s="273"/>
      <c r="Y54" s="273"/>
      <c r="Z54" s="273"/>
      <c r="AA54" s="273"/>
      <c r="AB54" s="273"/>
      <c r="AC54" s="273"/>
      <c r="AD54" s="272"/>
      <c r="AE54" s="273" t="str">
        <f>IF(I54=0,"",LN(I54))</f>
        <v/>
      </c>
      <c r="AF54" s="273" t="str">
        <f>IF(J54=0,"",LN(J54))</f>
        <v/>
      </c>
      <c r="AG54" s="273" t="str">
        <f>IF(K54=0,"",LN(K54))</f>
        <v/>
      </c>
      <c r="AI54" s="273"/>
      <c r="AJ54" s="273"/>
      <c r="AK54" s="273"/>
      <c r="AL54" s="273"/>
      <c r="AM54" s="273"/>
      <c r="AN54" s="273"/>
      <c r="AO54" s="272"/>
      <c r="AP54" s="273" t="str">
        <f>IF(T54=0,"",LN(T54))</f>
        <v/>
      </c>
      <c r="AQ54" s="273" t="str">
        <f>IF(U54=0,"",LN(U54))</f>
        <v/>
      </c>
      <c r="AR54" s="273" t="str">
        <f>IF(V54=0,"",LN(V54))</f>
        <v/>
      </c>
    </row>
    <row r="55" spans="1:44" x14ac:dyDescent="0.25">
      <c r="A55" s="255">
        <v>8</v>
      </c>
      <c r="B55" s="271">
        <v>0</v>
      </c>
      <c r="C55" s="271">
        <v>0</v>
      </c>
      <c r="D55" s="271">
        <v>0</v>
      </c>
      <c r="E55" s="271">
        <v>0</v>
      </c>
      <c r="F55" s="271">
        <v>0</v>
      </c>
      <c r="G55" s="271">
        <v>0</v>
      </c>
      <c r="H55" s="271">
        <v>0</v>
      </c>
      <c r="I55" s="270">
        <v>1</v>
      </c>
      <c r="J55" s="271">
        <v>0</v>
      </c>
      <c r="K55" s="271">
        <v>0</v>
      </c>
      <c r="L55" s="255">
        <v>8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271">
        <v>0</v>
      </c>
      <c r="T55" s="270">
        <v>1</v>
      </c>
      <c r="U55" s="271">
        <v>0</v>
      </c>
      <c r="V55" s="271">
        <v>0</v>
      </c>
      <c r="X55" s="273"/>
      <c r="Y55" s="273"/>
      <c r="Z55" s="273"/>
      <c r="AA55" s="273"/>
      <c r="AB55" s="273"/>
      <c r="AC55" s="273"/>
      <c r="AD55" s="273"/>
      <c r="AE55" s="272"/>
      <c r="AF55" s="273" t="str">
        <f>IF(J55=0,"",LN(J55))</f>
        <v/>
      </c>
      <c r="AG55" s="273" t="str">
        <f>IF(K55=0,"",LN(K55))</f>
        <v/>
      </c>
      <c r="AI55" s="273"/>
      <c r="AJ55" s="273"/>
      <c r="AK55" s="273"/>
      <c r="AL55" s="273"/>
      <c r="AM55" s="273"/>
      <c r="AN55" s="273"/>
      <c r="AO55" s="273"/>
      <c r="AP55" s="272"/>
      <c r="AQ55" s="273" t="str">
        <f>IF(U55=0,"",LN(U55))</f>
        <v/>
      </c>
      <c r="AR55" s="273" t="str">
        <f>IF(V55=0,"",LN(V55))</f>
        <v/>
      </c>
    </row>
    <row r="56" spans="1:44" x14ac:dyDescent="0.25">
      <c r="A56" s="255">
        <v>9</v>
      </c>
      <c r="B56" s="271">
        <v>0</v>
      </c>
      <c r="C56" s="271">
        <v>0</v>
      </c>
      <c r="D56" s="271">
        <v>0</v>
      </c>
      <c r="E56" s="271">
        <v>0</v>
      </c>
      <c r="F56" s="271">
        <v>0</v>
      </c>
      <c r="G56" s="271">
        <v>0</v>
      </c>
      <c r="H56" s="271">
        <v>0</v>
      </c>
      <c r="I56" s="271">
        <v>0</v>
      </c>
      <c r="J56" s="270">
        <v>1</v>
      </c>
      <c r="K56" s="271">
        <v>0</v>
      </c>
      <c r="L56" s="255">
        <v>9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271">
        <v>0</v>
      </c>
      <c r="T56" s="271">
        <v>0</v>
      </c>
      <c r="U56" s="270">
        <v>1</v>
      </c>
      <c r="V56" s="271">
        <v>0</v>
      </c>
      <c r="X56" s="273"/>
      <c r="Y56" s="273"/>
      <c r="Z56" s="273"/>
      <c r="AA56" s="273"/>
      <c r="AB56" s="273"/>
      <c r="AC56" s="273"/>
      <c r="AD56" s="273"/>
      <c r="AE56" s="273"/>
      <c r="AF56" s="272"/>
      <c r="AG56" s="273" t="str">
        <f>IF(K56=0,"",LN(K56))</f>
        <v/>
      </c>
      <c r="AI56" s="273"/>
      <c r="AJ56" s="273"/>
      <c r="AK56" s="273"/>
      <c r="AL56" s="273"/>
      <c r="AM56" s="273"/>
      <c r="AN56" s="273"/>
      <c r="AO56" s="273"/>
      <c r="AP56" s="273"/>
      <c r="AQ56" s="272"/>
      <c r="AR56" s="273" t="str">
        <f>IF(V56=0,"",LN(V56))</f>
        <v/>
      </c>
    </row>
    <row r="57" spans="1:44" x14ac:dyDescent="0.25">
      <c r="A57" s="255">
        <v>10</v>
      </c>
      <c r="B57" s="271">
        <v>0</v>
      </c>
      <c r="C57" s="271">
        <v>0</v>
      </c>
      <c r="D57" s="271">
        <v>0</v>
      </c>
      <c r="E57" s="271">
        <v>0</v>
      </c>
      <c r="F57" s="271">
        <v>0</v>
      </c>
      <c r="G57" s="271">
        <v>0</v>
      </c>
      <c r="H57" s="271">
        <v>0</v>
      </c>
      <c r="I57" s="271">
        <v>0</v>
      </c>
      <c r="J57" s="271">
        <v>0</v>
      </c>
      <c r="K57" s="270">
        <v>1</v>
      </c>
      <c r="L57" s="255">
        <v>10</v>
      </c>
      <c r="M57" s="271">
        <v>0</v>
      </c>
      <c r="N57" s="271">
        <v>0</v>
      </c>
      <c r="O57" s="271">
        <v>0</v>
      </c>
      <c r="P57" s="271">
        <v>0</v>
      </c>
      <c r="Q57" s="271">
        <v>0</v>
      </c>
      <c r="R57" s="271">
        <v>0</v>
      </c>
      <c r="S57" s="271">
        <v>0</v>
      </c>
      <c r="T57" s="271">
        <v>0</v>
      </c>
      <c r="U57" s="271">
        <v>0</v>
      </c>
      <c r="V57" s="270">
        <v>1</v>
      </c>
      <c r="X57" s="273"/>
      <c r="Y57" s="273"/>
      <c r="Z57" s="273"/>
      <c r="AA57" s="273"/>
      <c r="AB57" s="273"/>
      <c r="AC57" s="273"/>
      <c r="AD57" s="273"/>
      <c r="AE57" s="273"/>
      <c r="AF57" s="273"/>
      <c r="AG57" s="272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</row>
    <row r="59" spans="1:44" ht="13" x14ac:dyDescent="0.3">
      <c r="A59" s="263">
        <v>8</v>
      </c>
      <c r="B59" s="336" t="str">
        <f ca="1">INDIRECT(ADDRESS(17,2,1,1,"in"&amp;TEXT(A59,"@")))</f>
        <v>Participant 8</v>
      </c>
      <c r="C59" s="336"/>
      <c r="D59" s="336"/>
      <c r="E59" s="336"/>
      <c r="F59" s="336"/>
      <c r="G59" s="336"/>
      <c r="H59" s="264">
        <f ca="1">INDIRECT(ADDRESS(17,6,1,1,"in"&amp;TEXT(A59,"@")))</f>
        <v>1</v>
      </c>
      <c r="I59" s="265"/>
      <c r="J59" s="335">
        <f ca="1">INDIRECT(ADDRESS(17,7,1,1,"in"&amp;TEXT(A59,"@")))</f>
        <v>0</v>
      </c>
      <c r="K59" s="335"/>
      <c r="L59" s="263">
        <v>9</v>
      </c>
      <c r="M59" s="336" t="str">
        <f ca="1">INDIRECT(ADDRESS(17,2,1,1,"in"&amp;TEXT(L59,"@")))</f>
        <v>Participant 9</v>
      </c>
      <c r="N59" s="336"/>
      <c r="O59" s="336"/>
      <c r="P59" s="336"/>
      <c r="Q59" s="336"/>
      <c r="R59" s="336"/>
      <c r="S59" s="264">
        <f ca="1">INDIRECT(ADDRESS(17,6,1,1,"in"&amp;TEXT(L59,"@")))</f>
        <v>1</v>
      </c>
      <c r="T59" s="265"/>
      <c r="U59" s="335">
        <f ca="1">INDIRECT(ADDRESS(17,7,1,1,"in"&amp;TEXT(L59,"@")))</f>
        <v>0</v>
      </c>
      <c r="V59" s="335"/>
      <c r="X59" s="336"/>
      <c r="Y59" s="336"/>
      <c r="Z59" s="336"/>
      <c r="AA59" s="336"/>
      <c r="AB59" s="336"/>
      <c r="AC59" s="336"/>
      <c r="AD59" s="267">
        <f>IF(A59&gt;$N$4,0,IF(H59=0,1,H59))</f>
        <v>0</v>
      </c>
      <c r="AE59" s="267"/>
      <c r="AF59" s="336"/>
      <c r="AG59" s="336"/>
      <c r="AH59" s="263"/>
      <c r="AI59" s="336"/>
      <c r="AJ59" s="336"/>
      <c r="AK59" s="336"/>
      <c r="AL59" s="336"/>
      <c r="AM59" s="336"/>
      <c r="AN59" s="336"/>
      <c r="AO59" s="267">
        <f>IF(L59&gt;$N$4,0,IF(S59=0,1,S59))</f>
        <v>0</v>
      </c>
      <c r="AP59" s="267"/>
      <c r="AQ59" s="335"/>
      <c r="AR59" s="335"/>
    </row>
    <row r="60" spans="1:44" x14ac:dyDescent="0.25">
      <c r="B60" s="268">
        <v>1</v>
      </c>
      <c r="C60" s="268">
        <v>2</v>
      </c>
      <c r="D60" s="268">
        <v>3</v>
      </c>
      <c r="E60" s="268">
        <v>4</v>
      </c>
      <c r="F60" s="268">
        <v>5</v>
      </c>
      <c r="G60" s="268">
        <v>6</v>
      </c>
      <c r="H60" s="268">
        <v>7</v>
      </c>
      <c r="I60" s="268">
        <v>8</v>
      </c>
      <c r="J60" s="255">
        <v>9</v>
      </c>
      <c r="K60" s="255">
        <v>10</v>
      </c>
      <c r="M60" s="268">
        <v>1</v>
      </c>
      <c r="N60" s="268">
        <v>2</v>
      </c>
      <c r="O60" s="268">
        <v>3</v>
      </c>
      <c r="P60" s="268">
        <v>4</v>
      </c>
      <c r="Q60" s="268">
        <v>5</v>
      </c>
      <c r="R60" s="268">
        <v>6</v>
      </c>
      <c r="S60" s="268">
        <v>7</v>
      </c>
      <c r="T60" s="268">
        <v>8</v>
      </c>
      <c r="U60" s="255">
        <v>9</v>
      </c>
      <c r="V60" s="255">
        <v>10</v>
      </c>
      <c r="X60" s="268"/>
      <c r="Y60" s="268"/>
      <c r="Z60" s="268"/>
      <c r="AA60" s="268"/>
      <c r="AB60" s="268"/>
      <c r="AC60" s="268"/>
      <c r="AD60" s="268"/>
      <c r="AE60" s="268"/>
      <c r="AI60" s="268"/>
      <c r="AJ60" s="268"/>
      <c r="AK60" s="268"/>
      <c r="AL60" s="268"/>
      <c r="AM60" s="268"/>
      <c r="AN60" s="268"/>
      <c r="AO60" s="268"/>
      <c r="AP60" s="268"/>
    </row>
    <row r="61" spans="1:44" x14ac:dyDescent="0.25">
      <c r="A61" s="255">
        <v>1</v>
      </c>
      <c r="B61" s="270">
        <f t="array" ref="B61:K70">Matrix8</f>
        <v>1</v>
      </c>
      <c r="C61" s="271">
        <v>1</v>
      </c>
      <c r="D61" s="271">
        <v>1</v>
      </c>
      <c r="E61" s="271">
        <v>0</v>
      </c>
      <c r="F61" s="271">
        <v>0</v>
      </c>
      <c r="G61" s="271">
        <v>0</v>
      </c>
      <c r="H61" s="271">
        <v>0</v>
      </c>
      <c r="I61" s="271">
        <v>0</v>
      </c>
      <c r="J61" s="271">
        <v>0</v>
      </c>
      <c r="K61" s="271">
        <v>0</v>
      </c>
      <c r="L61" s="255">
        <v>1</v>
      </c>
      <c r="M61" s="270">
        <f t="array" ref="M61:V70">Matrix9</f>
        <v>1</v>
      </c>
      <c r="N61" s="271">
        <v>1</v>
      </c>
      <c r="O61" s="271">
        <v>1</v>
      </c>
      <c r="P61" s="271">
        <v>0</v>
      </c>
      <c r="Q61" s="271">
        <v>0</v>
      </c>
      <c r="R61" s="271">
        <v>0</v>
      </c>
      <c r="S61" s="271">
        <v>0</v>
      </c>
      <c r="T61" s="271">
        <v>0</v>
      </c>
      <c r="U61" s="271">
        <v>0</v>
      </c>
      <c r="V61" s="271">
        <v>0</v>
      </c>
      <c r="X61" s="272"/>
      <c r="Y61" s="273">
        <f t="shared" ref="Y61:AG61" si="39">IF(C61=0,"",LN(C61))</f>
        <v>0</v>
      </c>
      <c r="Z61" s="273">
        <f t="shared" si="39"/>
        <v>0</v>
      </c>
      <c r="AA61" s="273" t="str">
        <f t="shared" si="39"/>
        <v/>
      </c>
      <c r="AB61" s="273" t="str">
        <f t="shared" si="39"/>
        <v/>
      </c>
      <c r="AC61" s="273" t="str">
        <f t="shared" si="39"/>
        <v/>
      </c>
      <c r="AD61" s="273" t="str">
        <f t="shared" si="39"/>
        <v/>
      </c>
      <c r="AE61" s="273" t="str">
        <f t="shared" si="39"/>
        <v/>
      </c>
      <c r="AF61" s="273" t="str">
        <f t="shared" si="39"/>
        <v/>
      </c>
      <c r="AG61" s="273" t="str">
        <f t="shared" si="39"/>
        <v/>
      </c>
      <c r="AI61" s="272"/>
      <c r="AJ61" s="273">
        <f t="shared" ref="AJ61:AR61" si="40">IF(N61=0,"",LN(N61))</f>
        <v>0</v>
      </c>
      <c r="AK61" s="273">
        <f t="shared" si="40"/>
        <v>0</v>
      </c>
      <c r="AL61" s="273" t="str">
        <f t="shared" si="40"/>
        <v/>
      </c>
      <c r="AM61" s="273" t="str">
        <f t="shared" si="40"/>
        <v/>
      </c>
      <c r="AN61" s="273" t="str">
        <f t="shared" si="40"/>
        <v/>
      </c>
      <c r="AO61" s="273" t="str">
        <f t="shared" si="40"/>
        <v/>
      </c>
      <c r="AP61" s="273" t="str">
        <f t="shared" si="40"/>
        <v/>
      </c>
      <c r="AQ61" s="273" t="str">
        <f t="shared" si="40"/>
        <v/>
      </c>
      <c r="AR61" s="273" t="str">
        <f t="shared" si="40"/>
        <v/>
      </c>
    </row>
    <row r="62" spans="1:44" x14ac:dyDescent="0.25">
      <c r="A62" s="255">
        <v>2</v>
      </c>
      <c r="B62" s="271">
        <v>1</v>
      </c>
      <c r="C62" s="270">
        <v>1</v>
      </c>
      <c r="D62" s="271">
        <v>1</v>
      </c>
      <c r="E62" s="271">
        <v>0</v>
      </c>
      <c r="F62" s="271">
        <v>0</v>
      </c>
      <c r="G62" s="271">
        <v>0</v>
      </c>
      <c r="H62" s="271">
        <v>0</v>
      </c>
      <c r="I62" s="271">
        <v>0</v>
      </c>
      <c r="J62" s="271">
        <v>0</v>
      </c>
      <c r="K62" s="271">
        <v>0</v>
      </c>
      <c r="L62" s="255">
        <v>2</v>
      </c>
      <c r="M62" s="271">
        <v>1</v>
      </c>
      <c r="N62" s="270">
        <v>1</v>
      </c>
      <c r="O62" s="271">
        <v>1</v>
      </c>
      <c r="P62" s="271">
        <v>0</v>
      </c>
      <c r="Q62" s="271">
        <v>0</v>
      </c>
      <c r="R62" s="271">
        <v>0</v>
      </c>
      <c r="S62" s="271">
        <v>0</v>
      </c>
      <c r="T62" s="271">
        <v>0</v>
      </c>
      <c r="U62" s="271">
        <v>0</v>
      </c>
      <c r="V62" s="271">
        <v>0</v>
      </c>
      <c r="X62" s="273"/>
      <c r="Y62" s="272"/>
      <c r="Z62" s="273">
        <f t="shared" ref="Z62:AG62" si="41">IF(D62=0,"",LN(D62))</f>
        <v>0</v>
      </c>
      <c r="AA62" s="273" t="str">
        <f t="shared" si="41"/>
        <v/>
      </c>
      <c r="AB62" s="273" t="str">
        <f t="shared" si="41"/>
        <v/>
      </c>
      <c r="AC62" s="273" t="str">
        <f t="shared" si="41"/>
        <v/>
      </c>
      <c r="AD62" s="273" t="str">
        <f t="shared" si="41"/>
        <v/>
      </c>
      <c r="AE62" s="273" t="str">
        <f t="shared" si="41"/>
        <v/>
      </c>
      <c r="AF62" s="273" t="str">
        <f t="shared" si="41"/>
        <v/>
      </c>
      <c r="AG62" s="273" t="str">
        <f t="shared" si="41"/>
        <v/>
      </c>
      <c r="AI62" s="273"/>
      <c r="AJ62" s="272"/>
      <c r="AK62" s="273">
        <f t="shared" ref="AK62:AR62" si="42">IF(O62=0,"",LN(O62))</f>
        <v>0</v>
      </c>
      <c r="AL62" s="273" t="str">
        <f t="shared" si="42"/>
        <v/>
      </c>
      <c r="AM62" s="273" t="str">
        <f t="shared" si="42"/>
        <v/>
      </c>
      <c r="AN62" s="273" t="str">
        <f t="shared" si="42"/>
        <v/>
      </c>
      <c r="AO62" s="273" t="str">
        <f t="shared" si="42"/>
        <v/>
      </c>
      <c r="AP62" s="273" t="str">
        <f t="shared" si="42"/>
        <v/>
      </c>
      <c r="AQ62" s="273" t="str">
        <f t="shared" si="42"/>
        <v/>
      </c>
      <c r="AR62" s="273" t="str">
        <f t="shared" si="42"/>
        <v/>
      </c>
    </row>
    <row r="63" spans="1:44" x14ac:dyDescent="0.25">
      <c r="A63" s="255">
        <v>3</v>
      </c>
      <c r="B63" s="271">
        <v>1</v>
      </c>
      <c r="C63" s="271">
        <v>1</v>
      </c>
      <c r="D63" s="270">
        <v>1</v>
      </c>
      <c r="E63" s="271">
        <v>0</v>
      </c>
      <c r="F63" s="271">
        <v>0</v>
      </c>
      <c r="G63" s="271">
        <v>0</v>
      </c>
      <c r="H63" s="271">
        <v>0</v>
      </c>
      <c r="I63" s="271">
        <v>0</v>
      </c>
      <c r="J63" s="271">
        <v>0</v>
      </c>
      <c r="K63" s="271">
        <v>0</v>
      </c>
      <c r="L63" s="255">
        <v>3</v>
      </c>
      <c r="M63" s="271">
        <v>1</v>
      </c>
      <c r="N63" s="271">
        <v>1</v>
      </c>
      <c r="O63" s="270">
        <v>1</v>
      </c>
      <c r="P63" s="271">
        <v>0</v>
      </c>
      <c r="Q63" s="271">
        <v>0</v>
      </c>
      <c r="R63" s="271">
        <v>0</v>
      </c>
      <c r="S63" s="271">
        <v>0</v>
      </c>
      <c r="T63" s="271">
        <v>0</v>
      </c>
      <c r="U63" s="271">
        <v>0</v>
      </c>
      <c r="V63" s="271">
        <v>0</v>
      </c>
      <c r="X63" s="273"/>
      <c r="Y63" s="273"/>
      <c r="Z63" s="272"/>
      <c r="AA63" s="273" t="str">
        <f t="shared" ref="AA63:AG63" si="43">IF(E63=0,"",LN(E63))</f>
        <v/>
      </c>
      <c r="AB63" s="273" t="str">
        <f t="shared" si="43"/>
        <v/>
      </c>
      <c r="AC63" s="273" t="str">
        <f t="shared" si="43"/>
        <v/>
      </c>
      <c r="AD63" s="273" t="str">
        <f t="shared" si="43"/>
        <v/>
      </c>
      <c r="AE63" s="273" t="str">
        <f t="shared" si="43"/>
        <v/>
      </c>
      <c r="AF63" s="273" t="str">
        <f t="shared" si="43"/>
        <v/>
      </c>
      <c r="AG63" s="273" t="str">
        <f t="shared" si="43"/>
        <v/>
      </c>
      <c r="AI63" s="273"/>
      <c r="AJ63" s="273"/>
      <c r="AK63" s="272"/>
      <c r="AL63" s="273" t="str">
        <f t="shared" ref="AL63:AR63" si="44">IF(P63=0,"",LN(P63))</f>
        <v/>
      </c>
      <c r="AM63" s="273" t="str">
        <f t="shared" si="44"/>
        <v/>
      </c>
      <c r="AN63" s="273" t="str">
        <f t="shared" si="44"/>
        <v/>
      </c>
      <c r="AO63" s="273" t="str">
        <f t="shared" si="44"/>
        <v/>
      </c>
      <c r="AP63" s="273" t="str">
        <f t="shared" si="44"/>
        <v/>
      </c>
      <c r="AQ63" s="273" t="str">
        <f t="shared" si="44"/>
        <v/>
      </c>
      <c r="AR63" s="273" t="str">
        <f t="shared" si="44"/>
        <v/>
      </c>
    </row>
    <row r="64" spans="1:44" x14ac:dyDescent="0.25">
      <c r="A64" s="255">
        <v>4</v>
      </c>
      <c r="B64" s="271">
        <v>0</v>
      </c>
      <c r="C64" s="271">
        <v>0</v>
      </c>
      <c r="D64" s="271">
        <v>0</v>
      </c>
      <c r="E64" s="270">
        <v>1</v>
      </c>
      <c r="F64" s="271">
        <v>0</v>
      </c>
      <c r="G64" s="271">
        <v>0</v>
      </c>
      <c r="H64" s="271">
        <v>0</v>
      </c>
      <c r="I64" s="271">
        <v>0</v>
      </c>
      <c r="J64" s="271">
        <v>0</v>
      </c>
      <c r="K64" s="271">
        <v>0</v>
      </c>
      <c r="L64" s="255">
        <v>4</v>
      </c>
      <c r="M64" s="271">
        <v>0</v>
      </c>
      <c r="N64" s="271">
        <v>0</v>
      </c>
      <c r="O64" s="271">
        <v>0</v>
      </c>
      <c r="P64" s="270">
        <v>1</v>
      </c>
      <c r="Q64" s="271">
        <v>0</v>
      </c>
      <c r="R64" s="271">
        <v>0</v>
      </c>
      <c r="S64" s="271">
        <v>0</v>
      </c>
      <c r="T64" s="271">
        <v>0</v>
      </c>
      <c r="U64" s="271">
        <v>0</v>
      </c>
      <c r="V64" s="271">
        <v>0</v>
      </c>
      <c r="X64" s="273"/>
      <c r="Y64" s="273"/>
      <c r="Z64" s="273"/>
      <c r="AA64" s="272"/>
      <c r="AB64" s="273" t="str">
        <f t="shared" ref="AB64:AG64" si="45">IF(F64=0,"",LN(F64))</f>
        <v/>
      </c>
      <c r="AC64" s="273" t="str">
        <f t="shared" si="45"/>
        <v/>
      </c>
      <c r="AD64" s="273" t="str">
        <f t="shared" si="45"/>
        <v/>
      </c>
      <c r="AE64" s="273" t="str">
        <f t="shared" si="45"/>
        <v/>
      </c>
      <c r="AF64" s="273" t="str">
        <f t="shared" si="45"/>
        <v/>
      </c>
      <c r="AG64" s="273" t="str">
        <f t="shared" si="45"/>
        <v/>
      </c>
      <c r="AI64" s="273"/>
      <c r="AJ64" s="273"/>
      <c r="AK64" s="273"/>
      <c r="AL64" s="272"/>
      <c r="AM64" s="273" t="str">
        <f t="shared" ref="AM64:AR64" si="46">IF(Q64=0,"",LN(Q64))</f>
        <v/>
      </c>
      <c r="AN64" s="273" t="str">
        <f t="shared" si="46"/>
        <v/>
      </c>
      <c r="AO64" s="273" t="str">
        <f t="shared" si="46"/>
        <v/>
      </c>
      <c r="AP64" s="273" t="str">
        <f t="shared" si="46"/>
        <v/>
      </c>
      <c r="AQ64" s="273" t="str">
        <f t="shared" si="46"/>
        <v/>
      </c>
      <c r="AR64" s="273" t="str">
        <f t="shared" si="46"/>
        <v/>
      </c>
    </row>
    <row r="65" spans="1:44" x14ac:dyDescent="0.25">
      <c r="A65" s="255">
        <v>5</v>
      </c>
      <c r="B65" s="271">
        <v>0</v>
      </c>
      <c r="C65" s="271">
        <v>0</v>
      </c>
      <c r="D65" s="271">
        <v>0</v>
      </c>
      <c r="E65" s="271">
        <v>0</v>
      </c>
      <c r="F65" s="270">
        <v>1</v>
      </c>
      <c r="G65" s="271">
        <v>0</v>
      </c>
      <c r="H65" s="271">
        <v>0</v>
      </c>
      <c r="I65" s="271">
        <v>0</v>
      </c>
      <c r="J65" s="271">
        <v>0</v>
      </c>
      <c r="K65" s="271">
        <v>0</v>
      </c>
      <c r="L65" s="255">
        <v>5</v>
      </c>
      <c r="M65" s="271">
        <v>0</v>
      </c>
      <c r="N65" s="271">
        <v>0</v>
      </c>
      <c r="O65" s="271">
        <v>0</v>
      </c>
      <c r="P65" s="271">
        <v>0</v>
      </c>
      <c r="Q65" s="270">
        <v>1</v>
      </c>
      <c r="R65" s="271">
        <v>0</v>
      </c>
      <c r="S65" s="271">
        <v>0</v>
      </c>
      <c r="T65" s="271">
        <v>0</v>
      </c>
      <c r="U65" s="271">
        <v>0</v>
      </c>
      <c r="V65" s="271">
        <v>0</v>
      </c>
      <c r="X65" s="273"/>
      <c r="Y65" s="273"/>
      <c r="Z65" s="273"/>
      <c r="AA65" s="273"/>
      <c r="AB65" s="272"/>
      <c r="AC65" s="273" t="str">
        <f>IF(G65=0,"",LN(G65))</f>
        <v/>
      </c>
      <c r="AD65" s="273" t="str">
        <f>IF(H65=0,"",LN(H65))</f>
        <v/>
      </c>
      <c r="AE65" s="273" t="str">
        <f>IF(I65=0,"",LN(I65))</f>
        <v/>
      </c>
      <c r="AF65" s="273" t="str">
        <f>IF(J65=0,"",LN(J65))</f>
        <v/>
      </c>
      <c r="AG65" s="273" t="str">
        <f>IF(K65=0,"",LN(K65))</f>
        <v/>
      </c>
      <c r="AI65" s="273"/>
      <c r="AJ65" s="273"/>
      <c r="AK65" s="273"/>
      <c r="AL65" s="273"/>
      <c r="AM65" s="272"/>
      <c r="AN65" s="273" t="str">
        <f>IF(R65=0,"",LN(R65))</f>
        <v/>
      </c>
      <c r="AO65" s="273" t="str">
        <f>IF(S65=0,"",LN(S65))</f>
        <v/>
      </c>
      <c r="AP65" s="273" t="str">
        <f>IF(T65=0,"",LN(T65))</f>
        <v/>
      </c>
      <c r="AQ65" s="273" t="str">
        <f>IF(U65=0,"",LN(U65))</f>
        <v/>
      </c>
      <c r="AR65" s="273" t="str">
        <f>IF(V65=0,"",LN(V65))</f>
        <v/>
      </c>
    </row>
    <row r="66" spans="1:44" x14ac:dyDescent="0.25">
      <c r="A66" s="255">
        <v>6</v>
      </c>
      <c r="B66" s="271">
        <v>0</v>
      </c>
      <c r="C66" s="271">
        <v>0</v>
      </c>
      <c r="D66" s="271">
        <v>0</v>
      </c>
      <c r="E66" s="271">
        <v>0</v>
      </c>
      <c r="F66" s="271">
        <v>0</v>
      </c>
      <c r="G66" s="270">
        <v>1</v>
      </c>
      <c r="H66" s="271">
        <v>0</v>
      </c>
      <c r="I66" s="271">
        <v>0</v>
      </c>
      <c r="J66" s="271">
        <v>0</v>
      </c>
      <c r="K66" s="271">
        <v>0</v>
      </c>
      <c r="L66" s="255">
        <v>6</v>
      </c>
      <c r="M66" s="271">
        <v>0</v>
      </c>
      <c r="N66" s="271">
        <v>0</v>
      </c>
      <c r="O66" s="271">
        <v>0</v>
      </c>
      <c r="P66" s="271">
        <v>0</v>
      </c>
      <c r="Q66" s="271">
        <v>0</v>
      </c>
      <c r="R66" s="270">
        <v>1</v>
      </c>
      <c r="S66" s="271">
        <v>0</v>
      </c>
      <c r="T66" s="271">
        <v>0</v>
      </c>
      <c r="U66" s="271">
        <v>0</v>
      </c>
      <c r="V66" s="271">
        <v>0</v>
      </c>
      <c r="X66" s="273"/>
      <c r="Y66" s="273"/>
      <c r="Z66" s="273"/>
      <c r="AA66" s="273"/>
      <c r="AB66" s="273"/>
      <c r="AC66" s="272"/>
      <c r="AD66" s="273" t="str">
        <f>IF(H66=0,"",LN(H66))</f>
        <v/>
      </c>
      <c r="AE66" s="273" t="str">
        <f>IF(I66=0,"",LN(I66))</f>
        <v/>
      </c>
      <c r="AF66" s="273" t="str">
        <f>IF(J66=0,"",LN(J66))</f>
        <v/>
      </c>
      <c r="AG66" s="273" t="str">
        <f>IF(K66=0,"",LN(K66))</f>
        <v/>
      </c>
      <c r="AI66" s="273"/>
      <c r="AJ66" s="273"/>
      <c r="AK66" s="273"/>
      <c r="AL66" s="273"/>
      <c r="AM66" s="273"/>
      <c r="AN66" s="272"/>
      <c r="AO66" s="273" t="str">
        <f>IF(S66=0,"",LN(S66))</f>
        <v/>
      </c>
      <c r="AP66" s="273" t="str">
        <f>IF(T66=0,"",LN(T66))</f>
        <v/>
      </c>
      <c r="AQ66" s="273" t="str">
        <f>IF(U66=0,"",LN(U66))</f>
        <v/>
      </c>
      <c r="AR66" s="273" t="str">
        <f>IF(V66=0,"",LN(V66))</f>
        <v/>
      </c>
    </row>
    <row r="67" spans="1:44" x14ac:dyDescent="0.25">
      <c r="A67" s="255">
        <v>7</v>
      </c>
      <c r="B67" s="271">
        <v>0</v>
      </c>
      <c r="C67" s="271">
        <v>0</v>
      </c>
      <c r="D67" s="271">
        <v>0</v>
      </c>
      <c r="E67" s="271">
        <v>0</v>
      </c>
      <c r="F67" s="271">
        <v>0</v>
      </c>
      <c r="G67" s="271">
        <v>0</v>
      </c>
      <c r="H67" s="270">
        <v>1</v>
      </c>
      <c r="I67" s="271">
        <v>0</v>
      </c>
      <c r="J67" s="271">
        <v>0</v>
      </c>
      <c r="K67" s="271">
        <v>0</v>
      </c>
      <c r="L67" s="255">
        <v>7</v>
      </c>
      <c r="M67" s="271">
        <v>0</v>
      </c>
      <c r="N67" s="271">
        <v>0</v>
      </c>
      <c r="O67" s="271">
        <v>0</v>
      </c>
      <c r="P67" s="271">
        <v>0</v>
      </c>
      <c r="Q67" s="271">
        <v>0</v>
      </c>
      <c r="R67" s="271">
        <v>0</v>
      </c>
      <c r="S67" s="270">
        <v>1</v>
      </c>
      <c r="T67" s="271">
        <v>0</v>
      </c>
      <c r="U67" s="271">
        <v>0</v>
      </c>
      <c r="V67" s="271">
        <v>0</v>
      </c>
      <c r="X67" s="273"/>
      <c r="Y67" s="273"/>
      <c r="Z67" s="273"/>
      <c r="AA67" s="273"/>
      <c r="AB67" s="273"/>
      <c r="AC67" s="273"/>
      <c r="AD67" s="272"/>
      <c r="AE67" s="273" t="str">
        <f>IF(I67=0,"",LN(I67))</f>
        <v/>
      </c>
      <c r="AF67" s="273" t="str">
        <f>IF(J67=0,"",LN(J67))</f>
        <v/>
      </c>
      <c r="AG67" s="273" t="str">
        <f>IF(K67=0,"",LN(K67))</f>
        <v/>
      </c>
      <c r="AI67" s="273"/>
      <c r="AJ67" s="273"/>
      <c r="AK67" s="273"/>
      <c r="AL67" s="273"/>
      <c r="AM67" s="273"/>
      <c r="AN67" s="273"/>
      <c r="AO67" s="272"/>
      <c r="AP67" s="273" t="str">
        <f>IF(T67=0,"",LN(T67))</f>
        <v/>
      </c>
      <c r="AQ67" s="273" t="str">
        <f>IF(U67=0,"",LN(U67))</f>
        <v/>
      </c>
      <c r="AR67" s="273" t="str">
        <f>IF(V67=0,"",LN(V67))</f>
        <v/>
      </c>
    </row>
    <row r="68" spans="1:44" x14ac:dyDescent="0.25">
      <c r="A68" s="255">
        <v>8</v>
      </c>
      <c r="B68" s="271">
        <v>0</v>
      </c>
      <c r="C68" s="271">
        <v>0</v>
      </c>
      <c r="D68" s="271">
        <v>0</v>
      </c>
      <c r="E68" s="271">
        <v>0</v>
      </c>
      <c r="F68" s="271">
        <v>0</v>
      </c>
      <c r="G68" s="271">
        <v>0</v>
      </c>
      <c r="H68" s="271">
        <v>0</v>
      </c>
      <c r="I68" s="270">
        <v>1</v>
      </c>
      <c r="J68" s="271">
        <v>0</v>
      </c>
      <c r="K68" s="271">
        <v>0</v>
      </c>
      <c r="L68" s="255">
        <v>8</v>
      </c>
      <c r="M68" s="271">
        <v>0</v>
      </c>
      <c r="N68" s="271">
        <v>0</v>
      </c>
      <c r="O68" s="271">
        <v>0</v>
      </c>
      <c r="P68" s="271">
        <v>0</v>
      </c>
      <c r="Q68" s="271">
        <v>0</v>
      </c>
      <c r="R68" s="271">
        <v>0</v>
      </c>
      <c r="S68" s="271">
        <v>0</v>
      </c>
      <c r="T68" s="270">
        <v>1</v>
      </c>
      <c r="U68" s="271">
        <v>0</v>
      </c>
      <c r="V68" s="271">
        <v>0</v>
      </c>
      <c r="X68" s="273"/>
      <c r="Y68" s="273"/>
      <c r="Z68" s="273"/>
      <c r="AA68" s="273"/>
      <c r="AB68" s="273"/>
      <c r="AC68" s="273"/>
      <c r="AD68" s="273"/>
      <c r="AE68" s="272"/>
      <c r="AF68" s="273" t="str">
        <f>IF(J68=0,"",LN(J68))</f>
        <v/>
      </c>
      <c r="AG68" s="273" t="str">
        <f>IF(K68=0,"",LN(K68))</f>
        <v/>
      </c>
      <c r="AI68" s="273"/>
      <c r="AJ68" s="273"/>
      <c r="AK68" s="273"/>
      <c r="AL68" s="273"/>
      <c r="AM68" s="273"/>
      <c r="AN68" s="273"/>
      <c r="AO68" s="273"/>
      <c r="AP68" s="272"/>
      <c r="AQ68" s="273" t="str">
        <f>IF(U68=0,"",LN(U68))</f>
        <v/>
      </c>
      <c r="AR68" s="273" t="str">
        <f>IF(V68=0,"",LN(V68))</f>
        <v/>
      </c>
    </row>
    <row r="69" spans="1:44" x14ac:dyDescent="0.25">
      <c r="A69" s="255">
        <v>9</v>
      </c>
      <c r="B69" s="271">
        <v>0</v>
      </c>
      <c r="C69" s="271">
        <v>0</v>
      </c>
      <c r="D69" s="271">
        <v>0</v>
      </c>
      <c r="E69" s="271">
        <v>0</v>
      </c>
      <c r="F69" s="271">
        <v>0</v>
      </c>
      <c r="G69" s="271">
        <v>0</v>
      </c>
      <c r="H69" s="271">
        <v>0</v>
      </c>
      <c r="I69" s="271">
        <v>0</v>
      </c>
      <c r="J69" s="270">
        <v>1</v>
      </c>
      <c r="K69" s="271">
        <v>0</v>
      </c>
      <c r="L69" s="255">
        <v>9</v>
      </c>
      <c r="M69" s="271">
        <v>0</v>
      </c>
      <c r="N69" s="271">
        <v>0</v>
      </c>
      <c r="O69" s="271">
        <v>0</v>
      </c>
      <c r="P69" s="271">
        <v>0</v>
      </c>
      <c r="Q69" s="271">
        <v>0</v>
      </c>
      <c r="R69" s="271">
        <v>0</v>
      </c>
      <c r="S69" s="271">
        <v>0</v>
      </c>
      <c r="T69" s="271">
        <v>0</v>
      </c>
      <c r="U69" s="270">
        <v>1</v>
      </c>
      <c r="V69" s="271">
        <v>0</v>
      </c>
      <c r="X69" s="273"/>
      <c r="Y69" s="273"/>
      <c r="Z69" s="273"/>
      <c r="AA69" s="273"/>
      <c r="AB69" s="273"/>
      <c r="AC69" s="273"/>
      <c r="AD69" s="273"/>
      <c r="AE69" s="273"/>
      <c r="AF69" s="272"/>
      <c r="AG69" s="273" t="str">
        <f>IF(K69=0,"",LN(K69))</f>
        <v/>
      </c>
      <c r="AI69" s="273"/>
      <c r="AJ69" s="273"/>
      <c r="AK69" s="273"/>
      <c r="AL69" s="273"/>
      <c r="AM69" s="273"/>
      <c r="AN69" s="273"/>
      <c r="AO69" s="273"/>
      <c r="AP69" s="273"/>
      <c r="AQ69" s="272"/>
      <c r="AR69" s="273" t="str">
        <f>IF(V69=0,"",LN(V69))</f>
        <v/>
      </c>
    </row>
    <row r="70" spans="1:44" x14ac:dyDescent="0.25">
      <c r="A70" s="255">
        <v>10</v>
      </c>
      <c r="B70" s="271">
        <v>0</v>
      </c>
      <c r="C70" s="271">
        <v>0</v>
      </c>
      <c r="D70" s="271">
        <v>0</v>
      </c>
      <c r="E70" s="271">
        <v>0</v>
      </c>
      <c r="F70" s="271">
        <v>0</v>
      </c>
      <c r="G70" s="271">
        <v>0</v>
      </c>
      <c r="H70" s="271">
        <v>0</v>
      </c>
      <c r="I70" s="271">
        <v>0</v>
      </c>
      <c r="J70" s="271">
        <v>0</v>
      </c>
      <c r="K70" s="270">
        <v>1</v>
      </c>
      <c r="L70" s="255">
        <v>10</v>
      </c>
      <c r="M70" s="271">
        <v>0</v>
      </c>
      <c r="N70" s="271">
        <v>0</v>
      </c>
      <c r="O70" s="271">
        <v>0</v>
      </c>
      <c r="P70" s="271">
        <v>0</v>
      </c>
      <c r="Q70" s="271">
        <v>0</v>
      </c>
      <c r="R70" s="271">
        <v>0</v>
      </c>
      <c r="S70" s="271">
        <v>0</v>
      </c>
      <c r="T70" s="271">
        <v>0</v>
      </c>
      <c r="U70" s="271">
        <v>0</v>
      </c>
      <c r="V70" s="270">
        <v>1</v>
      </c>
      <c r="X70" s="273"/>
      <c r="Y70" s="273"/>
      <c r="Z70" s="273"/>
      <c r="AA70" s="273"/>
      <c r="AB70" s="273"/>
      <c r="AC70" s="273"/>
      <c r="AD70" s="273"/>
      <c r="AE70" s="273"/>
      <c r="AF70" s="273"/>
      <c r="AG70" s="272"/>
      <c r="AI70" s="273"/>
      <c r="AJ70" s="273"/>
      <c r="AK70" s="273"/>
      <c r="AL70" s="273"/>
      <c r="AM70" s="273"/>
      <c r="AN70" s="273"/>
      <c r="AO70" s="273"/>
      <c r="AP70" s="273"/>
      <c r="AQ70" s="273"/>
      <c r="AR70" s="272"/>
    </row>
    <row r="72" spans="1:44" ht="13" x14ac:dyDescent="0.3">
      <c r="A72" s="263">
        <v>10</v>
      </c>
      <c r="B72" s="336" t="str">
        <f ca="1">INDIRECT(ADDRESS(17,2,1,1,"in"&amp;TEXT(A72,"@")))</f>
        <v>Participant 10</v>
      </c>
      <c r="C72" s="336"/>
      <c r="D72" s="336"/>
      <c r="E72" s="336"/>
      <c r="F72" s="336"/>
      <c r="G72" s="336"/>
      <c r="H72" s="264">
        <f ca="1">INDIRECT(ADDRESS(17,6,1,1,"in"&amp;TEXT(A72,"@")))</f>
        <v>1</v>
      </c>
      <c r="I72" s="265"/>
      <c r="J72" s="335">
        <f ca="1">INDIRECT(ADDRESS(17,7,1,1,"in"&amp;TEXT(A72,"@")))</f>
        <v>0</v>
      </c>
      <c r="K72" s="335"/>
      <c r="L72" s="263">
        <v>11</v>
      </c>
      <c r="M72" s="336" t="str">
        <f ca="1">INDIRECT(ADDRESS(17,2,1,1,"in"&amp;TEXT(L72,"@")))</f>
        <v>Participant 11</v>
      </c>
      <c r="N72" s="336"/>
      <c r="O72" s="336"/>
      <c r="P72" s="336"/>
      <c r="Q72" s="336"/>
      <c r="R72" s="336"/>
      <c r="S72" s="264">
        <f ca="1">INDIRECT(ADDRESS(17,6,1,1,"in"&amp;TEXT(L72,"@")))</f>
        <v>1</v>
      </c>
      <c r="T72" s="265"/>
      <c r="U72" s="335">
        <f ca="1">INDIRECT(ADDRESS(17,7,1,1,"in"&amp;TEXT(L72,"@")))</f>
        <v>0</v>
      </c>
      <c r="V72" s="335"/>
      <c r="X72" s="336"/>
      <c r="Y72" s="336"/>
      <c r="Z72" s="336"/>
      <c r="AA72" s="336"/>
      <c r="AB72" s="336"/>
      <c r="AC72" s="336"/>
      <c r="AD72" s="267">
        <f>IF(A72&gt;$N$4,0,IF(H72=0,1,H72))</f>
        <v>0</v>
      </c>
      <c r="AE72" s="267"/>
      <c r="AF72" s="335"/>
      <c r="AG72" s="335"/>
      <c r="AI72" s="336"/>
      <c r="AJ72" s="336"/>
      <c r="AK72" s="336"/>
      <c r="AL72" s="336"/>
      <c r="AM72" s="336"/>
      <c r="AN72" s="336"/>
      <c r="AO72" s="267">
        <f>IF(L72&gt;$N$4,0,IF(S72=0,1,S72))</f>
        <v>0</v>
      </c>
      <c r="AP72" s="267"/>
      <c r="AQ72" s="335"/>
      <c r="AR72" s="335"/>
    </row>
    <row r="73" spans="1:44" x14ac:dyDescent="0.25">
      <c r="B73" s="268">
        <v>1</v>
      </c>
      <c r="C73" s="268">
        <v>2</v>
      </c>
      <c r="D73" s="268">
        <v>3</v>
      </c>
      <c r="E73" s="268">
        <v>4</v>
      </c>
      <c r="F73" s="268">
        <v>5</v>
      </c>
      <c r="G73" s="268">
        <v>6</v>
      </c>
      <c r="H73" s="268">
        <v>7</v>
      </c>
      <c r="I73" s="268">
        <v>8</v>
      </c>
      <c r="J73" s="255">
        <v>9</v>
      </c>
      <c r="K73" s="255">
        <v>10</v>
      </c>
      <c r="M73" s="268">
        <v>1</v>
      </c>
      <c r="N73" s="268">
        <v>2</v>
      </c>
      <c r="O73" s="268">
        <v>3</v>
      </c>
      <c r="P73" s="268">
        <v>4</v>
      </c>
      <c r="Q73" s="268">
        <v>5</v>
      </c>
      <c r="R73" s="268">
        <v>6</v>
      </c>
      <c r="S73" s="268">
        <v>7</v>
      </c>
      <c r="T73" s="268">
        <v>8</v>
      </c>
      <c r="U73" s="255">
        <v>9</v>
      </c>
      <c r="V73" s="255">
        <v>10</v>
      </c>
      <c r="X73" s="268"/>
      <c r="Y73" s="268"/>
      <c r="Z73" s="268"/>
      <c r="AA73" s="268"/>
      <c r="AB73" s="268"/>
      <c r="AC73" s="268"/>
      <c r="AD73" s="268"/>
      <c r="AE73" s="268"/>
      <c r="AI73" s="268"/>
      <c r="AJ73" s="268"/>
      <c r="AK73" s="268"/>
      <c r="AL73" s="268"/>
      <c r="AM73" s="268"/>
      <c r="AN73" s="268"/>
      <c r="AO73" s="268"/>
      <c r="AP73" s="268"/>
    </row>
    <row r="74" spans="1:44" x14ac:dyDescent="0.25">
      <c r="A74" s="255">
        <v>1</v>
      </c>
      <c r="B74" s="270">
        <f t="array" ref="B74:K83">Matrix10</f>
        <v>1</v>
      </c>
      <c r="C74" s="271">
        <v>1</v>
      </c>
      <c r="D74" s="271">
        <v>1</v>
      </c>
      <c r="E74" s="271">
        <v>0</v>
      </c>
      <c r="F74" s="271">
        <v>0</v>
      </c>
      <c r="G74" s="271">
        <v>0</v>
      </c>
      <c r="H74" s="271">
        <v>0</v>
      </c>
      <c r="I74" s="271">
        <v>0</v>
      </c>
      <c r="J74" s="271">
        <v>0</v>
      </c>
      <c r="K74" s="271">
        <v>0</v>
      </c>
      <c r="L74" s="255">
        <v>1</v>
      </c>
      <c r="M74" s="270">
        <f t="array" ref="M74:V83">Matrix11</f>
        <v>1</v>
      </c>
      <c r="N74" s="271">
        <v>1</v>
      </c>
      <c r="O74" s="271">
        <v>1</v>
      </c>
      <c r="P74" s="271">
        <v>0</v>
      </c>
      <c r="Q74" s="271">
        <v>0</v>
      </c>
      <c r="R74" s="271">
        <v>0</v>
      </c>
      <c r="S74" s="271">
        <v>0</v>
      </c>
      <c r="T74" s="271">
        <v>0</v>
      </c>
      <c r="U74" s="271">
        <v>0</v>
      </c>
      <c r="V74" s="271">
        <v>0</v>
      </c>
      <c r="X74" s="272"/>
      <c r="Y74" s="273">
        <f t="shared" ref="Y74:AG74" si="47">IF(C74=0,"",LN(C74))</f>
        <v>0</v>
      </c>
      <c r="Z74" s="273">
        <f t="shared" si="47"/>
        <v>0</v>
      </c>
      <c r="AA74" s="273" t="str">
        <f t="shared" si="47"/>
        <v/>
      </c>
      <c r="AB74" s="273" t="str">
        <f t="shared" si="47"/>
        <v/>
      </c>
      <c r="AC74" s="273" t="str">
        <f t="shared" si="47"/>
        <v/>
      </c>
      <c r="AD74" s="273" t="str">
        <f t="shared" si="47"/>
        <v/>
      </c>
      <c r="AE74" s="273" t="str">
        <f t="shared" si="47"/>
        <v/>
      </c>
      <c r="AF74" s="273" t="str">
        <f t="shared" si="47"/>
        <v/>
      </c>
      <c r="AG74" s="273" t="str">
        <f t="shared" si="47"/>
        <v/>
      </c>
      <c r="AI74" s="272"/>
      <c r="AJ74" s="273">
        <f t="shared" ref="AJ74:AR74" si="48">IF(N74=0,"",LN(N74))</f>
        <v>0</v>
      </c>
      <c r="AK74" s="273">
        <f t="shared" si="48"/>
        <v>0</v>
      </c>
      <c r="AL74" s="273" t="str">
        <f t="shared" si="48"/>
        <v/>
      </c>
      <c r="AM74" s="273" t="str">
        <f t="shared" si="48"/>
        <v/>
      </c>
      <c r="AN74" s="273" t="str">
        <f t="shared" si="48"/>
        <v/>
      </c>
      <c r="AO74" s="273" t="str">
        <f t="shared" si="48"/>
        <v/>
      </c>
      <c r="AP74" s="273" t="str">
        <f t="shared" si="48"/>
        <v/>
      </c>
      <c r="AQ74" s="273" t="str">
        <f t="shared" si="48"/>
        <v/>
      </c>
      <c r="AR74" s="273" t="str">
        <f t="shared" si="48"/>
        <v/>
      </c>
    </row>
    <row r="75" spans="1:44" x14ac:dyDescent="0.25">
      <c r="A75" s="255">
        <v>2</v>
      </c>
      <c r="B75" s="271">
        <v>1</v>
      </c>
      <c r="C75" s="270">
        <v>1</v>
      </c>
      <c r="D75" s="271">
        <v>1</v>
      </c>
      <c r="E75" s="271">
        <v>0</v>
      </c>
      <c r="F75" s="271">
        <v>0</v>
      </c>
      <c r="G75" s="271">
        <v>0</v>
      </c>
      <c r="H75" s="271">
        <v>0</v>
      </c>
      <c r="I75" s="271">
        <v>0</v>
      </c>
      <c r="J75" s="271">
        <v>0</v>
      </c>
      <c r="K75" s="271">
        <v>0</v>
      </c>
      <c r="L75" s="255">
        <v>2</v>
      </c>
      <c r="M75" s="271">
        <v>1</v>
      </c>
      <c r="N75" s="270">
        <v>1</v>
      </c>
      <c r="O75" s="271">
        <v>1</v>
      </c>
      <c r="P75" s="271">
        <v>0</v>
      </c>
      <c r="Q75" s="271">
        <v>0</v>
      </c>
      <c r="R75" s="271">
        <v>0</v>
      </c>
      <c r="S75" s="271">
        <v>0</v>
      </c>
      <c r="T75" s="271">
        <v>0</v>
      </c>
      <c r="U75" s="271">
        <v>0</v>
      </c>
      <c r="V75" s="271">
        <v>0</v>
      </c>
      <c r="X75" s="273"/>
      <c r="Y75" s="272"/>
      <c r="Z75" s="273">
        <f t="shared" ref="Z75:AG75" si="49">IF(D75=0,"",LN(D75))</f>
        <v>0</v>
      </c>
      <c r="AA75" s="273" t="str">
        <f t="shared" si="49"/>
        <v/>
      </c>
      <c r="AB75" s="273" t="str">
        <f t="shared" si="49"/>
        <v/>
      </c>
      <c r="AC75" s="273" t="str">
        <f t="shared" si="49"/>
        <v/>
      </c>
      <c r="AD75" s="273" t="str">
        <f t="shared" si="49"/>
        <v/>
      </c>
      <c r="AE75" s="273" t="str">
        <f t="shared" si="49"/>
        <v/>
      </c>
      <c r="AF75" s="273" t="str">
        <f t="shared" si="49"/>
        <v/>
      </c>
      <c r="AG75" s="273" t="str">
        <f t="shared" si="49"/>
        <v/>
      </c>
      <c r="AI75" s="273"/>
      <c r="AJ75" s="272"/>
      <c r="AK75" s="273">
        <f t="shared" ref="AK75:AR75" si="50">IF(O75=0,"",LN(O75))</f>
        <v>0</v>
      </c>
      <c r="AL75" s="273" t="str">
        <f t="shared" si="50"/>
        <v/>
      </c>
      <c r="AM75" s="273" t="str">
        <f t="shared" si="50"/>
        <v/>
      </c>
      <c r="AN75" s="273" t="str">
        <f t="shared" si="50"/>
        <v/>
      </c>
      <c r="AO75" s="273" t="str">
        <f t="shared" si="50"/>
        <v/>
      </c>
      <c r="AP75" s="273" t="str">
        <f t="shared" si="50"/>
        <v/>
      </c>
      <c r="AQ75" s="273" t="str">
        <f t="shared" si="50"/>
        <v/>
      </c>
      <c r="AR75" s="273" t="str">
        <f t="shared" si="50"/>
        <v/>
      </c>
    </row>
    <row r="76" spans="1:44" x14ac:dyDescent="0.25">
      <c r="A76" s="255">
        <v>3</v>
      </c>
      <c r="B76" s="271">
        <v>1</v>
      </c>
      <c r="C76" s="271">
        <v>1</v>
      </c>
      <c r="D76" s="270">
        <v>1</v>
      </c>
      <c r="E76" s="271">
        <v>0</v>
      </c>
      <c r="F76" s="271">
        <v>0</v>
      </c>
      <c r="G76" s="271">
        <v>0</v>
      </c>
      <c r="H76" s="271">
        <v>0</v>
      </c>
      <c r="I76" s="271">
        <v>0</v>
      </c>
      <c r="J76" s="271">
        <v>0</v>
      </c>
      <c r="K76" s="271">
        <v>0</v>
      </c>
      <c r="L76" s="255">
        <v>3</v>
      </c>
      <c r="M76" s="271">
        <v>1</v>
      </c>
      <c r="N76" s="271">
        <v>1</v>
      </c>
      <c r="O76" s="270">
        <v>1</v>
      </c>
      <c r="P76" s="271">
        <v>0</v>
      </c>
      <c r="Q76" s="271">
        <v>0</v>
      </c>
      <c r="R76" s="271">
        <v>0</v>
      </c>
      <c r="S76" s="271">
        <v>0</v>
      </c>
      <c r="T76" s="271">
        <v>0</v>
      </c>
      <c r="U76" s="271">
        <v>0</v>
      </c>
      <c r="V76" s="271">
        <v>0</v>
      </c>
      <c r="X76" s="273"/>
      <c r="Y76" s="273"/>
      <c r="Z76" s="272"/>
      <c r="AA76" s="273" t="str">
        <f t="shared" ref="AA76:AG76" si="51">IF(E76=0,"",LN(E76))</f>
        <v/>
      </c>
      <c r="AB76" s="273" t="str">
        <f t="shared" si="51"/>
        <v/>
      </c>
      <c r="AC76" s="273" t="str">
        <f t="shared" si="51"/>
        <v/>
      </c>
      <c r="AD76" s="273" t="str">
        <f t="shared" si="51"/>
        <v/>
      </c>
      <c r="AE76" s="273" t="str">
        <f t="shared" si="51"/>
        <v/>
      </c>
      <c r="AF76" s="273" t="str">
        <f t="shared" si="51"/>
        <v/>
      </c>
      <c r="AG76" s="273" t="str">
        <f t="shared" si="51"/>
        <v/>
      </c>
      <c r="AI76" s="273"/>
      <c r="AJ76" s="273"/>
      <c r="AK76" s="272"/>
      <c r="AL76" s="273" t="str">
        <f t="shared" ref="AL76:AR76" si="52">IF(P76=0,"",LN(P76))</f>
        <v/>
      </c>
      <c r="AM76" s="273" t="str">
        <f t="shared" si="52"/>
        <v/>
      </c>
      <c r="AN76" s="273" t="str">
        <f t="shared" si="52"/>
        <v/>
      </c>
      <c r="AO76" s="273" t="str">
        <f t="shared" si="52"/>
        <v/>
      </c>
      <c r="AP76" s="273" t="str">
        <f t="shared" si="52"/>
        <v/>
      </c>
      <c r="AQ76" s="273" t="str">
        <f t="shared" si="52"/>
        <v/>
      </c>
      <c r="AR76" s="273" t="str">
        <f t="shared" si="52"/>
        <v/>
      </c>
    </row>
    <row r="77" spans="1:44" x14ac:dyDescent="0.25">
      <c r="A77" s="255">
        <v>4</v>
      </c>
      <c r="B77" s="271">
        <v>0</v>
      </c>
      <c r="C77" s="271">
        <v>0</v>
      </c>
      <c r="D77" s="271">
        <v>0</v>
      </c>
      <c r="E77" s="270">
        <v>1</v>
      </c>
      <c r="F77" s="271">
        <v>0</v>
      </c>
      <c r="G77" s="271">
        <v>0</v>
      </c>
      <c r="H77" s="271">
        <v>0</v>
      </c>
      <c r="I77" s="271">
        <v>0</v>
      </c>
      <c r="J77" s="271">
        <v>0</v>
      </c>
      <c r="K77" s="271">
        <v>0</v>
      </c>
      <c r="L77" s="255">
        <v>4</v>
      </c>
      <c r="M77" s="271">
        <v>0</v>
      </c>
      <c r="N77" s="271">
        <v>0</v>
      </c>
      <c r="O77" s="271">
        <v>0</v>
      </c>
      <c r="P77" s="270">
        <v>1</v>
      </c>
      <c r="Q77" s="271">
        <v>0</v>
      </c>
      <c r="R77" s="271">
        <v>0</v>
      </c>
      <c r="S77" s="271">
        <v>0</v>
      </c>
      <c r="T77" s="271">
        <v>0</v>
      </c>
      <c r="U77" s="271">
        <v>0</v>
      </c>
      <c r="V77" s="271">
        <v>0</v>
      </c>
      <c r="X77" s="273"/>
      <c r="Y77" s="273"/>
      <c r="Z77" s="273"/>
      <c r="AA77" s="272"/>
      <c r="AB77" s="273" t="str">
        <f t="shared" ref="AB77:AG77" si="53">IF(F77=0,"",LN(F77))</f>
        <v/>
      </c>
      <c r="AC77" s="273" t="str">
        <f t="shared" si="53"/>
        <v/>
      </c>
      <c r="AD77" s="273" t="str">
        <f t="shared" si="53"/>
        <v/>
      </c>
      <c r="AE77" s="273" t="str">
        <f t="shared" si="53"/>
        <v/>
      </c>
      <c r="AF77" s="273" t="str">
        <f t="shared" si="53"/>
        <v/>
      </c>
      <c r="AG77" s="273" t="str">
        <f t="shared" si="53"/>
        <v/>
      </c>
      <c r="AI77" s="273"/>
      <c r="AJ77" s="273"/>
      <c r="AK77" s="273"/>
      <c r="AL77" s="272"/>
      <c r="AM77" s="273" t="str">
        <f t="shared" ref="AM77:AR77" si="54">IF(Q77=0,"",LN(Q77))</f>
        <v/>
      </c>
      <c r="AN77" s="273" t="str">
        <f t="shared" si="54"/>
        <v/>
      </c>
      <c r="AO77" s="273" t="str">
        <f t="shared" si="54"/>
        <v/>
      </c>
      <c r="AP77" s="273" t="str">
        <f t="shared" si="54"/>
        <v/>
      </c>
      <c r="AQ77" s="273" t="str">
        <f t="shared" si="54"/>
        <v/>
      </c>
      <c r="AR77" s="273" t="str">
        <f t="shared" si="54"/>
        <v/>
      </c>
    </row>
    <row r="78" spans="1:44" x14ac:dyDescent="0.25">
      <c r="A78" s="255">
        <v>5</v>
      </c>
      <c r="B78" s="271">
        <v>0</v>
      </c>
      <c r="C78" s="271">
        <v>0</v>
      </c>
      <c r="D78" s="271">
        <v>0</v>
      </c>
      <c r="E78" s="271">
        <v>0</v>
      </c>
      <c r="F78" s="270">
        <v>1</v>
      </c>
      <c r="G78" s="271">
        <v>0</v>
      </c>
      <c r="H78" s="271">
        <v>0</v>
      </c>
      <c r="I78" s="271">
        <v>0</v>
      </c>
      <c r="J78" s="271">
        <v>0</v>
      </c>
      <c r="K78" s="271">
        <v>0</v>
      </c>
      <c r="L78" s="255">
        <v>5</v>
      </c>
      <c r="M78" s="271">
        <v>0</v>
      </c>
      <c r="N78" s="271">
        <v>0</v>
      </c>
      <c r="O78" s="271">
        <v>0</v>
      </c>
      <c r="P78" s="271">
        <v>0</v>
      </c>
      <c r="Q78" s="270">
        <v>1</v>
      </c>
      <c r="R78" s="271">
        <v>0</v>
      </c>
      <c r="S78" s="271">
        <v>0</v>
      </c>
      <c r="T78" s="271">
        <v>0</v>
      </c>
      <c r="U78" s="271">
        <v>0</v>
      </c>
      <c r="V78" s="271">
        <v>0</v>
      </c>
      <c r="X78" s="273"/>
      <c r="Y78" s="273"/>
      <c r="Z78" s="273"/>
      <c r="AA78" s="273"/>
      <c r="AB78" s="272"/>
      <c r="AC78" s="273" t="str">
        <f>IF(G78=0,"",LN(G78))</f>
        <v/>
      </c>
      <c r="AD78" s="273" t="str">
        <f>IF(H78=0,"",LN(H78))</f>
        <v/>
      </c>
      <c r="AE78" s="273" t="str">
        <f>IF(I78=0,"",LN(I78))</f>
        <v/>
      </c>
      <c r="AF78" s="273" t="str">
        <f>IF(J78=0,"",LN(J78))</f>
        <v/>
      </c>
      <c r="AG78" s="273" t="str">
        <f>IF(K78=0,"",LN(K78))</f>
        <v/>
      </c>
      <c r="AI78" s="273"/>
      <c r="AJ78" s="273"/>
      <c r="AK78" s="273"/>
      <c r="AL78" s="273"/>
      <c r="AM78" s="272"/>
      <c r="AN78" s="273" t="str">
        <f>IF(R78=0,"",LN(R78))</f>
        <v/>
      </c>
      <c r="AO78" s="273" t="str">
        <f>IF(S78=0,"",LN(S78))</f>
        <v/>
      </c>
      <c r="AP78" s="273" t="str">
        <f>IF(T78=0,"",LN(T78))</f>
        <v/>
      </c>
      <c r="AQ78" s="273" t="str">
        <f>IF(U78=0,"",LN(U78))</f>
        <v/>
      </c>
      <c r="AR78" s="273" t="str">
        <f>IF(V78=0,"",LN(V78))</f>
        <v/>
      </c>
    </row>
    <row r="79" spans="1:44" x14ac:dyDescent="0.25">
      <c r="A79" s="255">
        <v>6</v>
      </c>
      <c r="B79" s="271">
        <v>0</v>
      </c>
      <c r="C79" s="271">
        <v>0</v>
      </c>
      <c r="D79" s="271">
        <v>0</v>
      </c>
      <c r="E79" s="271">
        <v>0</v>
      </c>
      <c r="F79" s="271">
        <v>0</v>
      </c>
      <c r="G79" s="270">
        <v>1</v>
      </c>
      <c r="H79" s="271">
        <v>0</v>
      </c>
      <c r="I79" s="271">
        <v>0</v>
      </c>
      <c r="J79" s="271">
        <v>0</v>
      </c>
      <c r="K79" s="271">
        <v>0</v>
      </c>
      <c r="L79" s="255">
        <v>6</v>
      </c>
      <c r="M79" s="271">
        <v>0</v>
      </c>
      <c r="N79" s="271">
        <v>0</v>
      </c>
      <c r="O79" s="271">
        <v>0</v>
      </c>
      <c r="P79" s="271">
        <v>0</v>
      </c>
      <c r="Q79" s="271">
        <v>0</v>
      </c>
      <c r="R79" s="270">
        <v>1</v>
      </c>
      <c r="S79" s="271">
        <v>0</v>
      </c>
      <c r="T79" s="271">
        <v>0</v>
      </c>
      <c r="U79" s="271">
        <v>0</v>
      </c>
      <c r="V79" s="271">
        <v>0</v>
      </c>
      <c r="X79" s="273"/>
      <c r="Y79" s="273"/>
      <c r="Z79" s="273"/>
      <c r="AA79" s="273"/>
      <c r="AB79" s="273"/>
      <c r="AC79" s="272"/>
      <c r="AD79" s="273" t="str">
        <f>IF(H79=0,"",LN(H79))</f>
        <v/>
      </c>
      <c r="AE79" s="273" t="str">
        <f>IF(I79=0,"",LN(I79))</f>
        <v/>
      </c>
      <c r="AF79" s="273" t="str">
        <f>IF(J79=0,"",LN(J79))</f>
        <v/>
      </c>
      <c r="AG79" s="273" t="str">
        <f>IF(K79=0,"",LN(K79))</f>
        <v/>
      </c>
      <c r="AI79" s="273"/>
      <c r="AJ79" s="273"/>
      <c r="AK79" s="273"/>
      <c r="AL79" s="273"/>
      <c r="AM79" s="273"/>
      <c r="AN79" s="272"/>
      <c r="AO79" s="273" t="str">
        <f>IF(S79=0,"",LN(S79))</f>
        <v/>
      </c>
      <c r="AP79" s="273" t="str">
        <f>IF(T79=0,"",LN(T79))</f>
        <v/>
      </c>
      <c r="AQ79" s="273" t="str">
        <f>IF(U79=0,"",LN(U79))</f>
        <v/>
      </c>
      <c r="AR79" s="273" t="str">
        <f>IF(V79=0,"",LN(V79))</f>
        <v/>
      </c>
    </row>
    <row r="80" spans="1:44" x14ac:dyDescent="0.25">
      <c r="A80" s="255">
        <v>7</v>
      </c>
      <c r="B80" s="271">
        <v>0</v>
      </c>
      <c r="C80" s="271">
        <v>0</v>
      </c>
      <c r="D80" s="271">
        <v>0</v>
      </c>
      <c r="E80" s="271">
        <v>0</v>
      </c>
      <c r="F80" s="271">
        <v>0</v>
      </c>
      <c r="G80" s="271">
        <v>0</v>
      </c>
      <c r="H80" s="270">
        <v>1</v>
      </c>
      <c r="I80" s="271">
        <v>0</v>
      </c>
      <c r="J80" s="271">
        <v>0</v>
      </c>
      <c r="K80" s="271">
        <v>0</v>
      </c>
      <c r="L80" s="255">
        <v>7</v>
      </c>
      <c r="M80" s="271">
        <v>0</v>
      </c>
      <c r="N80" s="271">
        <v>0</v>
      </c>
      <c r="O80" s="271">
        <v>0</v>
      </c>
      <c r="P80" s="271">
        <v>0</v>
      </c>
      <c r="Q80" s="271">
        <v>0</v>
      </c>
      <c r="R80" s="271">
        <v>0</v>
      </c>
      <c r="S80" s="270">
        <v>1</v>
      </c>
      <c r="T80" s="271">
        <v>0</v>
      </c>
      <c r="U80" s="271">
        <v>0</v>
      </c>
      <c r="V80" s="271">
        <v>0</v>
      </c>
      <c r="X80" s="273"/>
      <c r="Y80" s="273"/>
      <c r="Z80" s="273"/>
      <c r="AA80" s="273"/>
      <c r="AB80" s="273"/>
      <c r="AC80" s="273"/>
      <c r="AD80" s="272"/>
      <c r="AE80" s="273" t="str">
        <f>IF(I80=0,"",LN(I80))</f>
        <v/>
      </c>
      <c r="AF80" s="273" t="str">
        <f>IF(J80=0,"",LN(J80))</f>
        <v/>
      </c>
      <c r="AG80" s="273" t="str">
        <f>IF(K80=0,"",LN(K80))</f>
        <v/>
      </c>
      <c r="AI80" s="273"/>
      <c r="AJ80" s="273"/>
      <c r="AK80" s="273"/>
      <c r="AL80" s="273"/>
      <c r="AM80" s="273"/>
      <c r="AN80" s="273"/>
      <c r="AO80" s="272"/>
      <c r="AP80" s="273" t="str">
        <f>IF(T80=0,"",LN(T80))</f>
        <v/>
      </c>
      <c r="AQ80" s="273" t="str">
        <f>IF(U80=0,"",LN(U80))</f>
        <v/>
      </c>
      <c r="AR80" s="273" t="str">
        <f>IF(V80=0,"",LN(V80))</f>
        <v/>
      </c>
    </row>
    <row r="81" spans="1:44" x14ac:dyDescent="0.25">
      <c r="A81" s="255">
        <v>8</v>
      </c>
      <c r="B81" s="271">
        <v>0</v>
      </c>
      <c r="C81" s="271">
        <v>0</v>
      </c>
      <c r="D81" s="271">
        <v>0</v>
      </c>
      <c r="E81" s="271">
        <v>0</v>
      </c>
      <c r="F81" s="271">
        <v>0</v>
      </c>
      <c r="G81" s="271">
        <v>0</v>
      </c>
      <c r="H81" s="271">
        <v>0</v>
      </c>
      <c r="I81" s="270">
        <v>1</v>
      </c>
      <c r="J81" s="271">
        <v>0</v>
      </c>
      <c r="K81" s="271">
        <v>0</v>
      </c>
      <c r="L81" s="255">
        <v>8</v>
      </c>
      <c r="M81" s="271">
        <v>0</v>
      </c>
      <c r="N81" s="271">
        <v>0</v>
      </c>
      <c r="O81" s="271">
        <v>0</v>
      </c>
      <c r="P81" s="271">
        <v>0</v>
      </c>
      <c r="Q81" s="271">
        <v>0</v>
      </c>
      <c r="R81" s="271">
        <v>0</v>
      </c>
      <c r="S81" s="271">
        <v>0</v>
      </c>
      <c r="T81" s="270">
        <v>1</v>
      </c>
      <c r="U81" s="271">
        <v>0</v>
      </c>
      <c r="V81" s="271">
        <v>0</v>
      </c>
      <c r="X81" s="273"/>
      <c r="Y81" s="273"/>
      <c r="Z81" s="273"/>
      <c r="AA81" s="273"/>
      <c r="AB81" s="273"/>
      <c r="AC81" s="273"/>
      <c r="AD81" s="273"/>
      <c r="AE81" s="272"/>
      <c r="AF81" s="273" t="str">
        <f>IF(J81=0,"",LN(J81))</f>
        <v/>
      </c>
      <c r="AG81" s="273" t="str">
        <f>IF(K81=0,"",LN(K81))</f>
        <v/>
      </c>
      <c r="AI81" s="273"/>
      <c r="AJ81" s="273"/>
      <c r="AK81" s="273"/>
      <c r="AL81" s="273"/>
      <c r="AM81" s="273"/>
      <c r="AN81" s="273"/>
      <c r="AO81" s="273"/>
      <c r="AP81" s="272"/>
      <c r="AQ81" s="273" t="str">
        <f>IF(U81=0,"",LN(U81))</f>
        <v/>
      </c>
      <c r="AR81" s="273" t="str">
        <f>IF(V81=0,"",LN(V81))</f>
        <v/>
      </c>
    </row>
    <row r="82" spans="1:44" x14ac:dyDescent="0.25">
      <c r="A82" s="255">
        <v>9</v>
      </c>
      <c r="B82" s="271">
        <v>0</v>
      </c>
      <c r="C82" s="271">
        <v>0</v>
      </c>
      <c r="D82" s="271">
        <v>0</v>
      </c>
      <c r="E82" s="271">
        <v>0</v>
      </c>
      <c r="F82" s="271">
        <v>0</v>
      </c>
      <c r="G82" s="271">
        <v>0</v>
      </c>
      <c r="H82" s="271">
        <v>0</v>
      </c>
      <c r="I82" s="271">
        <v>0</v>
      </c>
      <c r="J82" s="270">
        <v>1</v>
      </c>
      <c r="K82" s="271">
        <v>0</v>
      </c>
      <c r="L82" s="255">
        <v>9</v>
      </c>
      <c r="M82" s="271">
        <v>0</v>
      </c>
      <c r="N82" s="271">
        <v>0</v>
      </c>
      <c r="O82" s="271">
        <v>0</v>
      </c>
      <c r="P82" s="271">
        <v>0</v>
      </c>
      <c r="Q82" s="271">
        <v>0</v>
      </c>
      <c r="R82" s="271">
        <v>0</v>
      </c>
      <c r="S82" s="271">
        <v>0</v>
      </c>
      <c r="T82" s="271">
        <v>0</v>
      </c>
      <c r="U82" s="270">
        <v>1</v>
      </c>
      <c r="V82" s="271">
        <v>0</v>
      </c>
      <c r="X82" s="273"/>
      <c r="Y82" s="273"/>
      <c r="Z82" s="273"/>
      <c r="AA82" s="273"/>
      <c r="AB82" s="273"/>
      <c r="AC82" s="273"/>
      <c r="AD82" s="273"/>
      <c r="AE82" s="273"/>
      <c r="AF82" s="272"/>
      <c r="AG82" s="273" t="str">
        <f>IF(K82=0,"",LN(K82))</f>
        <v/>
      </c>
      <c r="AI82" s="273"/>
      <c r="AJ82" s="273"/>
      <c r="AK82" s="273"/>
      <c r="AL82" s="273"/>
      <c r="AM82" s="273"/>
      <c r="AN82" s="273"/>
      <c r="AO82" s="273"/>
      <c r="AP82" s="273"/>
      <c r="AQ82" s="272"/>
      <c r="AR82" s="273" t="str">
        <f>IF(V82=0,"",LN(V82))</f>
        <v/>
      </c>
    </row>
    <row r="83" spans="1:44" x14ac:dyDescent="0.25">
      <c r="A83" s="255">
        <v>10</v>
      </c>
      <c r="B83" s="271">
        <v>0</v>
      </c>
      <c r="C83" s="271">
        <v>0</v>
      </c>
      <c r="D83" s="271">
        <v>0</v>
      </c>
      <c r="E83" s="271">
        <v>0</v>
      </c>
      <c r="F83" s="271">
        <v>0</v>
      </c>
      <c r="G83" s="271">
        <v>0</v>
      </c>
      <c r="H83" s="271">
        <v>0</v>
      </c>
      <c r="I83" s="271">
        <v>0</v>
      </c>
      <c r="J83" s="271">
        <v>0</v>
      </c>
      <c r="K83" s="270">
        <v>1</v>
      </c>
      <c r="L83" s="255">
        <v>10</v>
      </c>
      <c r="M83" s="271">
        <v>0</v>
      </c>
      <c r="N83" s="271">
        <v>0</v>
      </c>
      <c r="O83" s="271">
        <v>0</v>
      </c>
      <c r="P83" s="271">
        <v>0</v>
      </c>
      <c r="Q83" s="271">
        <v>0</v>
      </c>
      <c r="R83" s="271">
        <v>0</v>
      </c>
      <c r="S83" s="271">
        <v>0</v>
      </c>
      <c r="T83" s="271">
        <v>0</v>
      </c>
      <c r="U83" s="271">
        <v>0</v>
      </c>
      <c r="V83" s="270">
        <v>1</v>
      </c>
      <c r="X83" s="273"/>
      <c r="Y83" s="273"/>
      <c r="Z83" s="273"/>
      <c r="AA83" s="273"/>
      <c r="AB83" s="273"/>
      <c r="AC83" s="273"/>
      <c r="AD83" s="273"/>
      <c r="AE83" s="273"/>
      <c r="AF83" s="273"/>
      <c r="AG83" s="272"/>
      <c r="AI83" s="273"/>
      <c r="AJ83" s="273"/>
      <c r="AK83" s="273"/>
      <c r="AL83" s="273"/>
      <c r="AM83" s="273"/>
      <c r="AN83" s="273"/>
      <c r="AO83" s="273"/>
      <c r="AP83" s="273"/>
      <c r="AQ83" s="273"/>
      <c r="AR83" s="272"/>
    </row>
    <row r="85" spans="1:44" ht="13" x14ac:dyDescent="0.3">
      <c r="A85" s="263">
        <v>12</v>
      </c>
      <c r="B85" s="336" t="str">
        <f ca="1">INDIRECT(ADDRESS(17,2,1,1,"in"&amp;TEXT(A85,"@")))</f>
        <v>Participant 12</v>
      </c>
      <c r="C85" s="336"/>
      <c r="D85" s="336"/>
      <c r="E85" s="336"/>
      <c r="F85" s="336"/>
      <c r="G85" s="336"/>
      <c r="H85" s="264">
        <f ca="1">INDIRECT(ADDRESS(17,6,1,1,"in"&amp;TEXT(A85,"@")))</f>
        <v>1</v>
      </c>
      <c r="I85" s="265"/>
      <c r="J85" s="335">
        <f ca="1">INDIRECT(ADDRESS(17,7,1,1,"in"&amp;TEXT(A85,"@")))</f>
        <v>0</v>
      </c>
      <c r="K85" s="335"/>
      <c r="L85" s="263">
        <v>13</v>
      </c>
      <c r="M85" s="336" t="str">
        <f ca="1">INDIRECT(ADDRESS(17,2,1,1,"in"&amp;TEXT(L85,"@")))</f>
        <v>Participant 13</v>
      </c>
      <c r="N85" s="336"/>
      <c r="O85" s="336"/>
      <c r="P85" s="336"/>
      <c r="Q85" s="336"/>
      <c r="R85" s="336"/>
      <c r="S85" s="264">
        <f ca="1">INDIRECT(ADDRESS(17,6,1,1,"in"&amp;TEXT(L85,"@")))</f>
        <v>1</v>
      </c>
      <c r="T85" s="265"/>
      <c r="U85" s="335">
        <f ca="1">INDIRECT(ADDRESS(17,7,1,1,"in"&amp;TEXT(L85,"@")))</f>
        <v>0</v>
      </c>
      <c r="V85" s="335"/>
      <c r="X85" s="336"/>
      <c r="Y85" s="336"/>
      <c r="Z85" s="336"/>
      <c r="AA85" s="336"/>
      <c r="AB85" s="336"/>
      <c r="AC85" s="336"/>
      <c r="AD85" s="267">
        <f>IF(A85&gt;$N$4,0,IF(H85=0,1,H85))</f>
        <v>0</v>
      </c>
      <c r="AE85" s="267"/>
      <c r="AF85" s="335"/>
      <c r="AG85" s="335"/>
      <c r="AI85" s="336"/>
      <c r="AJ85" s="336"/>
      <c r="AK85" s="336"/>
      <c r="AL85" s="336"/>
      <c r="AM85" s="336"/>
      <c r="AN85" s="336"/>
      <c r="AO85" s="267">
        <f>IF(L85&gt;$N$4,0,IF(S85=0,1,S85))</f>
        <v>0</v>
      </c>
      <c r="AP85" s="267"/>
      <c r="AQ85" s="335"/>
      <c r="AR85" s="335"/>
    </row>
    <row r="86" spans="1:44" x14ac:dyDescent="0.25">
      <c r="B86" s="268">
        <v>1</v>
      </c>
      <c r="C86" s="268">
        <v>2</v>
      </c>
      <c r="D86" s="268">
        <v>3</v>
      </c>
      <c r="E86" s="268">
        <v>4</v>
      </c>
      <c r="F86" s="268">
        <v>5</v>
      </c>
      <c r="G86" s="268">
        <v>6</v>
      </c>
      <c r="H86" s="268">
        <v>7</v>
      </c>
      <c r="I86" s="268">
        <v>8</v>
      </c>
      <c r="J86" s="255">
        <v>9</v>
      </c>
      <c r="K86" s="255">
        <v>10</v>
      </c>
      <c r="M86" s="268">
        <v>1</v>
      </c>
      <c r="N86" s="268">
        <v>2</v>
      </c>
      <c r="O86" s="268">
        <v>3</v>
      </c>
      <c r="P86" s="268">
        <v>4</v>
      </c>
      <c r="Q86" s="268">
        <v>5</v>
      </c>
      <c r="R86" s="268">
        <v>6</v>
      </c>
      <c r="S86" s="268">
        <v>7</v>
      </c>
      <c r="T86" s="268">
        <v>8</v>
      </c>
      <c r="U86" s="255">
        <v>9</v>
      </c>
      <c r="V86" s="255">
        <v>10</v>
      </c>
      <c r="X86" s="268"/>
      <c r="Y86" s="268"/>
      <c r="Z86" s="268"/>
      <c r="AA86" s="268"/>
      <c r="AB86" s="268"/>
      <c r="AC86" s="268"/>
      <c r="AD86" s="268"/>
      <c r="AE86" s="268"/>
      <c r="AI86" s="268"/>
      <c r="AJ86" s="268"/>
      <c r="AK86" s="268"/>
      <c r="AL86" s="268"/>
      <c r="AM86" s="268"/>
      <c r="AN86" s="268"/>
      <c r="AO86" s="268"/>
      <c r="AP86" s="268"/>
    </row>
    <row r="87" spans="1:44" x14ac:dyDescent="0.25">
      <c r="A87" s="255">
        <v>1</v>
      </c>
      <c r="B87" s="270">
        <f t="array" ref="B87:K96">Matrix12</f>
        <v>1</v>
      </c>
      <c r="C87" s="271">
        <v>1</v>
      </c>
      <c r="D87" s="271">
        <v>1</v>
      </c>
      <c r="E87" s="271">
        <v>0</v>
      </c>
      <c r="F87" s="271">
        <v>0</v>
      </c>
      <c r="G87" s="271">
        <v>0</v>
      </c>
      <c r="H87" s="271">
        <v>0</v>
      </c>
      <c r="I87" s="271">
        <v>0</v>
      </c>
      <c r="J87" s="271">
        <v>0</v>
      </c>
      <c r="K87" s="271">
        <v>0</v>
      </c>
      <c r="L87" s="255">
        <v>1</v>
      </c>
      <c r="M87" s="270">
        <f t="array" ref="M87:V96">Matrix13</f>
        <v>1</v>
      </c>
      <c r="N87" s="271">
        <v>1</v>
      </c>
      <c r="O87" s="271">
        <v>1</v>
      </c>
      <c r="P87" s="271">
        <v>0</v>
      </c>
      <c r="Q87" s="271">
        <v>0</v>
      </c>
      <c r="R87" s="271">
        <v>0</v>
      </c>
      <c r="S87" s="271">
        <v>0</v>
      </c>
      <c r="T87" s="271">
        <v>0</v>
      </c>
      <c r="U87" s="271">
        <v>0</v>
      </c>
      <c r="V87" s="271">
        <v>0</v>
      </c>
      <c r="X87" s="272"/>
      <c r="Y87" s="273">
        <f t="shared" ref="Y87:AG87" si="55">IF(C87=0,"",LN(C87))</f>
        <v>0</v>
      </c>
      <c r="Z87" s="273">
        <f t="shared" si="55"/>
        <v>0</v>
      </c>
      <c r="AA87" s="273" t="str">
        <f t="shared" si="55"/>
        <v/>
      </c>
      <c r="AB87" s="273" t="str">
        <f t="shared" si="55"/>
        <v/>
      </c>
      <c r="AC87" s="273" t="str">
        <f t="shared" si="55"/>
        <v/>
      </c>
      <c r="AD87" s="273" t="str">
        <f t="shared" si="55"/>
        <v/>
      </c>
      <c r="AE87" s="273" t="str">
        <f t="shared" si="55"/>
        <v/>
      </c>
      <c r="AF87" s="273" t="str">
        <f t="shared" si="55"/>
        <v/>
      </c>
      <c r="AG87" s="273" t="str">
        <f t="shared" si="55"/>
        <v/>
      </c>
      <c r="AI87" s="272"/>
      <c r="AJ87" s="273">
        <f t="shared" ref="AJ87:AR87" si="56">IF(N87=0,"",LN(N87))</f>
        <v>0</v>
      </c>
      <c r="AK87" s="273">
        <f t="shared" si="56"/>
        <v>0</v>
      </c>
      <c r="AL87" s="273" t="str">
        <f t="shared" si="56"/>
        <v/>
      </c>
      <c r="AM87" s="273" t="str">
        <f t="shared" si="56"/>
        <v/>
      </c>
      <c r="AN87" s="273" t="str">
        <f t="shared" si="56"/>
        <v/>
      </c>
      <c r="AO87" s="273" t="str">
        <f t="shared" si="56"/>
        <v/>
      </c>
      <c r="AP87" s="273" t="str">
        <f t="shared" si="56"/>
        <v/>
      </c>
      <c r="AQ87" s="273" t="str">
        <f t="shared" si="56"/>
        <v/>
      </c>
      <c r="AR87" s="273" t="str">
        <f t="shared" si="56"/>
        <v/>
      </c>
    </row>
    <row r="88" spans="1:44" x14ac:dyDescent="0.25">
      <c r="A88" s="255">
        <v>2</v>
      </c>
      <c r="B88" s="271">
        <v>1</v>
      </c>
      <c r="C88" s="270">
        <v>1</v>
      </c>
      <c r="D88" s="271">
        <v>1</v>
      </c>
      <c r="E88" s="271">
        <v>0</v>
      </c>
      <c r="F88" s="271">
        <v>0</v>
      </c>
      <c r="G88" s="271">
        <v>0</v>
      </c>
      <c r="H88" s="271">
        <v>0</v>
      </c>
      <c r="I88" s="271">
        <v>0</v>
      </c>
      <c r="J88" s="271">
        <v>0</v>
      </c>
      <c r="K88" s="271">
        <v>0</v>
      </c>
      <c r="L88" s="255">
        <v>2</v>
      </c>
      <c r="M88" s="271">
        <v>1</v>
      </c>
      <c r="N88" s="270">
        <v>1</v>
      </c>
      <c r="O88" s="271">
        <v>1</v>
      </c>
      <c r="P88" s="271">
        <v>0</v>
      </c>
      <c r="Q88" s="271">
        <v>0</v>
      </c>
      <c r="R88" s="271">
        <v>0</v>
      </c>
      <c r="S88" s="271">
        <v>0</v>
      </c>
      <c r="T88" s="271">
        <v>0</v>
      </c>
      <c r="U88" s="271">
        <v>0</v>
      </c>
      <c r="V88" s="271">
        <v>0</v>
      </c>
      <c r="X88" s="273"/>
      <c r="Y88" s="272"/>
      <c r="Z88" s="273">
        <f t="shared" ref="Z88:AG88" si="57">IF(D88=0,"",LN(D88))</f>
        <v>0</v>
      </c>
      <c r="AA88" s="273" t="str">
        <f t="shared" si="57"/>
        <v/>
      </c>
      <c r="AB88" s="273" t="str">
        <f t="shared" si="57"/>
        <v/>
      </c>
      <c r="AC88" s="273" t="str">
        <f t="shared" si="57"/>
        <v/>
      </c>
      <c r="AD88" s="273" t="str">
        <f t="shared" si="57"/>
        <v/>
      </c>
      <c r="AE88" s="273" t="str">
        <f t="shared" si="57"/>
        <v/>
      </c>
      <c r="AF88" s="273" t="str">
        <f t="shared" si="57"/>
        <v/>
      </c>
      <c r="AG88" s="273" t="str">
        <f t="shared" si="57"/>
        <v/>
      </c>
      <c r="AI88" s="273"/>
      <c r="AJ88" s="272"/>
      <c r="AK88" s="273">
        <f t="shared" ref="AK88:AR88" si="58">IF(O88=0,"",LN(O88))</f>
        <v>0</v>
      </c>
      <c r="AL88" s="273" t="str">
        <f t="shared" si="58"/>
        <v/>
      </c>
      <c r="AM88" s="273" t="str">
        <f t="shared" si="58"/>
        <v/>
      </c>
      <c r="AN88" s="273" t="str">
        <f t="shared" si="58"/>
        <v/>
      </c>
      <c r="AO88" s="273" t="str">
        <f t="shared" si="58"/>
        <v/>
      </c>
      <c r="AP88" s="273" t="str">
        <f t="shared" si="58"/>
        <v/>
      </c>
      <c r="AQ88" s="273" t="str">
        <f t="shared" si="58"/>
        <v/>
      </c>
      <c r="AR88" s="273" t="str">
        <f t="shared" si="58"/>
        <v/>
      </c>
    </row>
    <row r="89" spans="1:44" x14ac:dyDescent="0.25">
      <c r="A89" s="255">
        <v>3</v>
      </c>
      <c r="B89" s="271">
        <v>1</v>
      </c>
      <c r="C89" s="271">
        <v>1</v>
      </c>
      <c r="D89" s="270">
        <v>1</v>
      </c>
      <c r="E89" s="271">
        <v>0</v>
      </c>
      <c r="F89" s="271">
        <v>0</v>
      </c>
      <c r="G89" s="271">
        <v>0</v>
      </c>
      <c r="H89" s="271">
        <v>0</v>
      </c>
      <c r="I89" s="271">
        <v>0</v>
      </c>
      <c r="J89" s="271">
        <v>0</v>
      </c>
      <c r="K89" s="271">
        <v>0</v>
      </c>
      <c r="L89" s="255">
        <v>3</v>
      </c>
      <c r="M89" s="271">
        <v>1</v>
      </c>
      <c r="N89" s="271">
        <v>1</v>
      </c>
      <c r="O89" s="270">
        <v>1</v>
      </c>
      <c r="P89" s="271">
        <v>0</v>
      </c>
      <c r="Q89" s="271">
        <v>0</v>
      </c>
      <c r="R89" s="271">
        <v>0</v>
      </c>
      <c r="S89" s="271">
        <v>0</v>
      </c>
      <c r="T89" s="271">
        <v>0</v>
      </c>
      <c r="U89" s="271">
        <v>0</v>
      </c>
      <c r="V89" s="271">
        <v>0</v>
      </c>
      <c r="X89" s="273"/>
      <c r="Y89" s="273"/>
      <c r="Z89" s="272"/>
      <c r="AA89" s="273" t="str">
        <f t="shared" ref="AA89:AG89" si="59">IF(E89=0,"",LN(E89))</f>
        <v/>
      </c>
      <c r="AB89" s="273" t="str">
        <f t="shared" si="59"/>
        <v/>
      </c>
      <c r="AC89" s="273" t="str">
        <f t="shared" si="59"/>
        <v/>
      </c>
      <c r="AD89" s="273" t="str">
        <f t="shared" si="59"/>
        <v/>
      </c>
      <c r="AE89" s="273" t="str">
        <f t="shared" si="59"/>
        <v/>
      </c>
      <c r="AF89" s="273" t="str">
        <f t="shared" si="59"/>
        <v/>
      </c>
      <c r="AG89" s="273" t="str">
        <f t="shared" si="59"/>
        <v/>
      </c>
      <c r="AI89" s="273"/>
      <c r="AJ89" s="273"/>
      <c r="AK89" s="272"/>
      <c r="AL89" s="273" t="str">
        <f t="shared" ref="AL89:AR89" si="60">IF(P89=0,"",LN(P89))</f>
        <v/>
      </c>
      <c r="AM89" s="273" t="str">
        <f t="shared" si="60"/>
        <v/>
      </c>
      <c r="AN89" s="273" t="str">
        <f t="shared" si="60"/>
        <v/>
      </c>
      <c r="AO89" s="273" t="str">
        <f t="shared" si="60"/>
        <v/>
      </c>
      <c r="AP89" s="273" t="str">
        <f t="shared" si="60"/>
        <v/>
      </c>
      <c r="AQ89" s="273" t="str">
        <f t="shared" si="60"/>
        <v/>
      </c>
      <c r="AR89" s="273" t="str">
        <f t="shared" si="60"/>
        <v/>
      </c>
    </row>
    <row r="90" spans="1:44" x14ac:dyDescent="0.25">
      <c r="A90" s="255">
        <v>4</v>
      </c>
      <c r="B90" s="271">
        <v>0</v>
      </c>
      <c r="C90" s="271">
        <v>0</v>
      </c>
      <c r="D90" s="271">
        <v>0</v>
      </c>
      <c r="E90" s="270">
        <v>1</v>
      </c>
      <c r="F90" s="271">
        <v>0</v>
      </c>
      <c r="G90" s="271">
        <v>0</v>
      </c>
      <c r="H90" s="271">
        <v>0</v>
      </c>
      <c r="I90" s="271">
        <v>0</v>
      </c>
      <c r="J90" s="271">
        <v>0</v>
      </c>
      <c r="K90" s="271">
        <v>0</v>
      </c>
      <c r="L90" s="255">
        <v>4</v>
      </c>
      <c r="M90" s="271">
        <v>0</v>
      </c>
      <c r="N90" s="271">
        <v>0</v>
      </c>
      <c r="O90" s="271">
        <v>0</v>
      </c>
      <c r="P90" s="270">
        <v>1</v>
      </c>
      <c r="Q90" s="271">
        <v>0</v>
      </c>
      <c r="R90" s="271">
        <v>0</v>
      </c>
      <c r="S90" s="271">
        <v>0</v>
      </c>
      <c r="T90" s="271">
        <v>0</v>
      </c>
      <c r="U90" s="271">
        <v>0</v>
      </c>
      <c r="V90" s="271">
        <v>0</v>
      </c>
      <c r="X90" s="273"/>
      <c r="Y90" s="273"/>
      <c r="Z90" s="273"/>
      <c r="AA90" s="272"/>
      <c r="AB90" s="273" t="str">
        <f t="shared" ref="AB90:AG90" si="61">IF(F90=0,"",LN(F90))</f>
        <v/>
      </c>
      <c r="AC90" s="273" t="str">
        <f t="shared" si="61"/>
        <v/>
      </c>
      <c r="AD90" s="273" t="str">
        <f t="shared" si="61"/>
        <v/>
      </c>
      <c r="AE90" s="273" t="str">
        <f t="shared" si="61"/>
        <v/>
      </c>
      <c r="AF90" s="273" t="str">
        <f t="shared" si="61"/>
        <v/>
      </c>
      <c r="AG90" s="273" t="str">
        <f t="shared" si="61"/>
        <v/>
      </c>
      <c r="AI90" s="273"/>
      <c r="AJ90" s="273"/>
      <c r="AK90" s="273"/>
      <c r="AL90" s="272"/>
      <c r="AM90" s="273" t="str">
        <f t="shared" ref="AM90:AR90" si="62">IF(Q90=0,"",LN(Q90))</f>
        <v/>
      </c>
      <c r="AN90" s="273" t="str">
        <f t="shared" si="62"/>
        <v/>
      </c>
      <c r="AO90" s="273" t="str">
        <f t="shared" si="62"/>
        <v/>
      </c>
      <c r="AP90" s="273" t="str">
        <f t="shared" si="62"/>
        <v/>
      </c>
      <c r="AQ90" s="273" t="str">
        <f t="shared" si="62"/>
        <v/>
      </c>
      <c r="AR90" s="273" t="str">
        <f t="shared" si="62"/>
        <v/>
      </c>
    </row>
    <row r="91" spans="1:44" x14ac:dyDescent="0.25">
      <c r="A91" s="255">
        <v>5</v>
      </c>
      <c r="B91" s="271">
        <v>0</v>
      </c>
      <c r="C91" s="271">
        <v>0</v>
      </c>
      <c r="D91" s="271">
        <v>0</v>
      </c>
      <c r="E91" s="271">
        <v>0</v>
      </c>
      <c r="F91" s="270">
        <v>1</v>
      </c>
      <c r="G91" s="271">
        <v>0</v>
      </c>
      <c r="H91" s="271">
        <v>0</v>
      </c>
      <c r="I91" s="271">
        <v>0</v>
      </c>
      <c r="J91" s="271">
        <v>0</v>
      </c>
      <c r="K91" s="271">
        <v>0</v>
      </c>
      <c r="L91" s="255">
        <v>5</v>
      </c>
      <c r="M91" s="271">
        <v>0</v>
      </c>
      <c r="N91" s="271">
        <v>0</v>
      </c>
      <c r="O91" s="271">
        <v>0</v>
      </c>
      <c r="P91" s="271">
        <v>0</v>
      </c>
      <c r="Q91" s="270">
        <v>1</v>
      </c>
      <c r="R91" s="271">
        <v>0</v>
      </c>
      <c r="S91" s="271">
        <v>0</v>
      </c>
      <c r="T91" s="271">
        <v>0</v>
      </c>
      <c r="U91" s="271">
        <v>0</v>
      </c>
      <c r="V91" s="271">
        <v>0</v>
      </c>
      <c r="X91" s="273"/>
      <c r="Y91" s="273"/>
      <c r="Z91" s="273"/>
      <c r="AA91" s="273"/>
      <c r="AB91" s="272"/>
      <c r="AC91" s="273" t="str">
        <f>IF(G91=0,"",LN(G91))</f>
        <v/>
      </c>
      <c r="AD91" s="273" t="str">
        <f>IF(H91=0,"",LN(H91))</f>
        <v/>
      </c>
      <c r="AE91" s="273" t="str">
        <f>IF(I91=0,"",LN(I91))</f>
        <v/>
      </c>
      <c r="AF91" s="273" t="str">
        <f>IF(J91=0,"",LN(J91))</f>
        <v/>
      </c>
      <c r="AG91" s="273" t="str">
        <f>IF(K91=0,"",LN(K91))</f>
        <v/>
      </c>
      <c r="AI91" s="273"/>
      <c r="AJ91" s="273"/>
      <c r="AK91" s="273"/>
      <c r="AL91" s="273"/>
      <c r="AM91" s="272"/>
      <c r="AN91" s="273" t="str">
        <f>IF(R91=0,"",LN(R91))</f>
        <v/>
      </c>
      <c r="AO91" s="273" t="str">
        <f>IF(S91=0,"",LN(S91))</f>
        <v/>
      </c>
      <c r="AP91" s="273" t="str">
        <f>IF(T91=0,"",LN(T91))</f>
        <v/>
      </c>
      <c r="AQ91" s="273" t="str">
        <f>IF(U91=0,"",LN(U91))</f>
        <v/>
      </c>
      <c r="AR91" s="273" t="str">
        <f>IF(V91=0,"",LN(V91))</f>
        <v/>
      </c>
    </row>
    <row r="92" spans="1:44" x14ac:dyDescent="0.25">
      <c r="A92" s="255">
        <v>6</v>
      </c>
      <c r="B92" s="271">
        <v>0</v>
      </c>
      <c r="C92" s="271">
        <v>0</v>
      </c>
      <c r="D92" s="271">
        <v>0</v>
      </c>
      <c r="E92" s="271">
        <v>0</v>
      </c>
      <c r="F92" s="271">
        <v>0</v>
      </c>
      <c r="G92" s="270">
        <v>1</v>
      </c>
      <c r="H92" s="271">
        <v>0</v>
      </c>
      <c r="I92" s="271">
        <v>0</v>
      </c>
      <c r="J92" s="271">
        <v>0</v>
      </c>
      <c r="K92" s="271">
        <v>0</v>
      </c>
      <c r="L92" s="255">
        <v>6</v>
      </c>
      <c r="M92" s="271">
        <v>0</v>
      </c>
      <c r="N92" s="271">
        <v>0</v>
      </c>
      <c r="O92" s="271">
        <v>0</v>
      </c>
      <c r="P92" s="271">
        <v>0</v>
      </c>
      <c r="Q92" s="271">
        <v>0</v>
      </c>
      <c r="R92" s="270">
        <v>1</v>
      </c>
      <c r="S92" s="271">
        <v>0</v>
      </c>
      <c r="T92" s="271">
        <v>0</v>
      </c>
      <c r="U92" s="271">
        <v>0</v>
      </c>
      <c r="V92" s="271">
        <v>0</v>
      </c>
      <c r="X92" s="273"/>
      <c r="Y92" s="273"/>
      <c r="Z92" s="273"/>
      <c r="AA92" s="273"/>
      <c r="AB92" s="273"/>
      <c r="AC92" s="272"/>
      <c r="AD92" s="273" t="str">
        <f>IF(H92=0,"",LN(H92))</f>
        <v/>
      </c>
      <c r="AE92" s="273" t="str">
        <f>IF(I92=0,"",LN(I92))</f>
        <v/>
      </c>
      <c r="AF92" s="273" t="str">
        <f>IF(J92=0,"",LN(J92))</f>
        <v/>
      </c>
      <c r="AG92" s="273" t="str">
        <f>IF(K92=0,"",LN(K92))</f>
        <v/>
      </c>
      <c r="AI92" s="273"/>
      <c r="AJ92" s="273"/>
      <c r="AK92" s="273"/>
      <c r="AL92" s="273"/>
      <c r="AM92" s="273"/>
      <c r="AN92" s="272"/>
      <c r="AO92" s="273" t="str">
        <f>IF(S92=0,"",LN(S92))</f>
        <v/>
      </c>
      <c r="AP92" s="273" t="str">
        <f>IF(T92=0,"",LN(T92))</f>
        <v/>
      </c>
      <c r="AQ92" s="273" t="str">
        <f>IF(U92=0,"",LN(U92))</f>
        <v/>
      </c>
      <c r="AR92" s="273" t="str">
        <f>IF(V92=0,"",LN(V92))</f>
        <v/>
      </c>
    </row>
    <row r="93" spans="1:44" x14ac:dyDescent="0.25">
      <c r="A93" s="255">
        <v>7</v>
      </c>
      <c r="B93" s="271">
        <v>0</v>
      </c>
      <c r="C93" s="271">
        <v>0</v>
      </c>
      <c r="D93" s="271">
        <v>0</v>
      </c>
      <c r="E93" s="271">
        <v>0</v>
      </c>
      <c r="F93" s="271">
        <v>0</v>
      </c>
      <c r="G93" s="271">
        <v>0</v>
      </c>
      <c r="H93" s="270">
        <v>1</v>
      </c>
      <c r="I93" s="271">
        <v>0</v>
      </c>
      <c r="J93" s="271">
        <v>0</v>
      </c>
      <c r="K93" s="271">
        <v>0</v>
      </c>
      <c r="L93" s="255">
        <v>7</v>
      </c>
      <c r="M93" s="271">
        <v>0</v>
      </c>
      <c r="N93" s="271">
        <v>0</v>
      </c>
      <c r="O93" s="271">
        <v>0</v>
      </c>
      <c r="P93" s="271">
        <v>0</v>
      </c>
      <c r="Q93" s="271">
        <v>0</v>
      </c>
      <c r="R93" s="271">
        <v>0</v>
      </c>
      <c r="S93" s="270">
        <v>1</v>
      </c>
      <c r="T93" s="271">
        <v>0</v>
      </c>
      <c r="U93" s="271">
        <v>0</v>
      </c>
      <c r="V93" s="271">
        <v>0</v>
      </c>
      <c r="X93" s="273"/>
      <c r="Y93" s="273"/>
      <c r="Z93" s="273"/>
      <c r="AA93" s="273"/>
      <c r="AB93" s="273"/>
      <c r="AC93" s="273"/>
      <c r="AD93" s="272"/>
      <c r="AE93" s="273" t="str">
        <f>IF(I93=0,"",LN(I93))</f>
        <v/>
      </c>
      <c r="AF93" s="273" t="str">
        <f>IF(J93=0,"",LN(J93))</f>
        <v/>
      </c>
      <c r="AG93" s="273" t="str">
        <f>IF(K93=0,"",LN(K93))</f>
        <v/>
      </c>
      <c r="AI93" s="273"/>
      <c r="AJ93" s="273"/>
      <c r="AK93" s="273"/>
      <c r="AL93" s="273"/>
      <c r="AM93" s="273"/>
      <c r="AN93" s="273"/>
      <c r="AO93" s="272"/>
      <c r="AP93" s="273" t="str">
        <f>IF(T93=0,"",LN(T93))</f>
        <v/>
      </c>
      <c r="AQ93" s="273" t="str">
        <f>IF(U93=0,"",LN(U93))</f>
        <v/>
      </c>
      <c r="AR93" s="273" t="str">
        <f>IF(V93=0,"",LN(V93))</f>
        <v/>
      </c>
    </row>
    <row r="94" spans="1:44" x14ac:dyDescent="0.25">
      <c r="A94" s="255">
        <v>8</v>
      </c>
      <c r="B94" s="271">
        <v>0</v>
      </c>
      <c r="C94" s="271">
        <v>0</v>
      </c>
      <c r="D94" s="271">
        <v>0</v>
      </c>
      <c r="E94" s="271">
        <v>0</v>
      </c>
      <c r="F94" s="271">
        <v>0</v>
      </c>
      <c r="G94" s="271">
        <v>0</v>
      </c>
      <c r="H94" s="271">
        <v>0</v>
      </c>
      <c r="I94" s="270">
        <v>1</v>
      </c>
      <c r="J94" s="271">
        <v>0</v>
      </c>
      <c r="K94" s="271">
        <v>0</v>
      </c>
      <c r="L94" s="255">
        <v>8</v>
      </c>
      <c r="M94" s="271">
        <v>0</v>
      </c>
      <c r="N94" s="271">
        <v>0</v>
      </c>
      <c r="O94" s="271">
        <v>0</v>
      </c>
      <c r="P94" s="271">
        <v>0</v>
      </c>
      <c r="Q94" s="271">
        <v>0</v>
      </c>
      <c r="R94" s="271">
        <v>0</v>
      </c>
      <c r="S94" s="271">
        <v>0</v>
      </c>
      <c r="T94" s="270">
        <v>1</v>
      </c>
      <c r="U94" s="271">
        <v>0</v>
      </c>
      <c r="V94" s="271">
        <v>0</v>
      </c>
      <c r="X94" s="273"/>
      <c r="Y94" s="273"/>
      <c r="Z94" s="273"/>
      <c r="AA94" s="273"/>
      <c r="AB94" s="273"/>
      <c r="AC94" s="273"/>
      <c r="AD94" s="273"/>
      <c r="AE94" s="272"/>
      <c r="AF94" s="273" t="str">
        <f>IF(J94=0,"",LN(J94))</f>
        <v/>
      </c>
      <c r="AG94" s="273" t="str">
        <f>IF(K94=0,"",LN(K94))</f>
        <v/>
      </c>
      <c r="AI94" s="273"/>
      <c r="AJ94" s="273"/>
      <c r="AK94" s="273"/>
      <c r="AL94" s="273"/>
      <c r="AM94" s="273"/>
      <c r="AN94" s="273"/>
      <c r="AO94" s="273"/>
      <c r="AP94" s="272"/>
      <c r="AQ94" s="273" t="str">
        <f>IF(U94=0,"",LN(U94))</f>
        <v/>
      </c>
      <c r="AR94" s="273" t="str">
        <f>IF(V94=0,"",LN(V94))</f>
        <v/>
      </c>
    </row>
    <row r="95" spans="1:44" x14ac:dyDescent="0.25">
      <c r="A95" s="255">
        <v>9</v>
      </c>
      <c r="B95" s="271">
        <v>0</v>
      </c>
      <c r="C95" s="271">
        <v>0</v>
      </c>
      <c r="D95" s="271">
        <v>0</v>
      </c>
      <c r="E95" s="271">
        <v>0</v>
      </c>
      <c r="F95" s="271">
        <v>0</v>
      </c>
      <c r="G95" s="271">
        <v>0</v>
      </c>
      <c r="H95" s="271">
        <v>0</v>
      </c>
      <c r="I95" s="271">
        <v>0</v>
      </c>
      <c r="J95" s="270">
        <v>1</v>
      </c>
      <c r="K95" s="271">
        <v>0</v>
      </c>
      <c r="L95" s="255">
        <v>9</v>
      </c>
      <c r="M95" s="271">
        <v>0</v>
      </c>
      <c r="N95" s="271">
        <v>0</v>
      </c>
      <c r="O95" s="271">
        <v>0</v>
      </c>
      <c r="P95" s="271">
        <v>0</v>
      </c>
      <c r="Q95" s="271">
        <v>0</v>
      </c>
      <c r="R95" s="271">
        <v>0</v>
      </c>
      <c r="S95" s="271">
        <v>0</v>
      </c>
      <c r="T95" s="271">
        <v>0</v>
      </c>
      <c r="U95" s="270">
        <v>1</v>
      </c>
      <c r="V95" s="271">
        <v>0</v>
      </c>
      <c r="X95" s="273"/>
      <c r="Y95" s="273"/>
      <c r="Z95" s="273"/>
      <c r="AA95" s="273"/>
      <c r="AB95" s="273"/>
      <c r="AC95" s="273"/>
      <c r="AD95" s="273"/>
      <c r="AE95" s="273"/>
      <c r="AF95" s="272"/>
      <c r="AG95" s="273" t="str">
        <f>IF(K95=0,"",LN(K95))</f>
        <v/>
      </c>
      <c r="AI95" s="273"/>
      <c r="AJ95" s="273"/>
      <c r="AK95" s="273"/>
      <c r="AL95" s="273"/>
      <c r="AM95" s="273"/>
      <c r="AN95" s="273"/>
      <c r="AO95" s="273"/>
      <c r="AP95" s="273"/>
      <c r="AQ95" s="272"/>
      <c r="AR95" s="273" t="str">
        <f>IF(V95=0,"",LN(V95))</f>
        <v/>
      </c>
    </row>
    <row r="96" spans="1:44" x14ac:dyDescent="0.25">
      <c r="A96" s="255">
        <v>10</v>
      </c>
      <c r="B96" s="271">
        <v>0</v>
      </c>
      <c r="C96" s="271">
        <v>0</v>
      </c>
      <c r="D96" s="271">
        <v>0</v>
      </c>
      <c r="E96" s="271">
        <v>0</v>
      </c>
      <c r="F96" s="271">
        <v>0</v>
      </c>
      <c r="G96" s="271">
        <v>0</v>
      </c>
      <c r="H96" s="271">
        <v>0</v>
      </c>
      <c r="I96" s="271">
        <v>0</v>
      </c>
      <c r="J96" s="271">
        <v>0</v>
      </c>
      <c r="K96" s="270">
        <v>1</v>
      </c>
      <c r="L96" s="255">
        <v>10</v>
      </c>
      <c r="M96" s="271">
        <v>0</v>
      </c>
      <c r="N96" s="271">
        <v>0</v>
      </c>
      <c r="O96" s="271">
        <v>0</v>
      </c>
      <c r="P96" s="271">
        <v>0</v>
      </c>
      <c r="Q96" s="271">
        <v>0</v>
      </c>
      <c r="R96" s="271">
        <v>0</v>
      </c>
      <c r="S96" s="271">
        <v>0</v>
      </c>
      <c r="T96" s="271">
        <v>0</v>
      </c>
      <c r="U96" s="271">
        <v>0</v>
      </c>
      <c r="V96" s="270">
        <v>1</v>
      </c>
      <c r="X96" s="273"/>
      <c r="Y96" s="273"/>
      <c r="Z96" s="273"/>
      <c r="AA96" s="273"/>
      <c r="AB96" s="273"/>
      <c r="AC96" s="273"/>
      <c r="AD96" s="273"/>
      <c r="AE96" s="273"/>
      <c r="AF96" s="273"/>
      <c r="AG96" s="272"/>
      <c r="AI96" s="273"/>
      <c r="AJ96" s="273"/>
      <c r="AK96" s="273"/>
      <c r="AL96" s="273"/>
      <c r="AM96" s="273"/>
      <c r="AN96" s="273"/>
      <c r="AO96" s="273"/>
      <c r="AP96" s="273"/>
      <c r="AQ96" s="273"/>
      <c r="AR96" s="272"/>
    </row>
    <row r="98" spans="1:44" ht="13" x14ac:dyDescent="0.3">
      <c r="A98" s="263">
        <v>14</v>
      </c>
      <c r="B98" s="336" t="str">
        <f ca="1">INDIRECT(ADDRESS(17,2,1,1,"in"&amp;TEXT(A98,"@")))</f>
        <v>Participant 14</v>
      </c>
      <c r="C98" s="336"/>
      <c r="D98" s="336"/>
      <c r="E98" s="336"/>
      <c r="F98" s="336"/>
      <c r="G98" s="336"/>
      <c r="H98" s="264">
        <f ca="1">INDIRECT(ADDRESS(17,6,1,1,"in"&amp;TEXT(A98,"@")))</f>
        <v>1</v>
      </c>
      <c r="I98" s="265"/>
      <c r="J98" s="335">
        <f ca="1">INDIRECT(ADDRESS(17,7,1,1,"in"&amp;TEXT(A98,"@")))</f>
        <v>0</v>
      </c>
      <c r="K98" s="335"/>
      <c r="L98" s="263">
        <v>15</v>
      </c>
      <c r="M98" s="336" t="str">
        <f ca="1">INDIRECT(ADDRESS(17,2,1,1,"in"&amp;TEXT(L98,"@")))</f>
        <v>Participant 15</v>
      </c>
      <c r="N98" s="336"/>
      <c r="O98" s="336"/>
      <c r="P98" s="336"/>
      <c r="Q98" s="336"/>
      <c r="R98" s="336"/>
      <c r="S98" s="264">
        <f ca="1">INDIRECT(ADDRESS(17,6,1,1,"in"&amp;TEXT(L98,"@")))</f>
        <v>1</v>
      </c>
      <c r="T98" s="265"/>
      <c r="U98" s="335">
        <f ca="1">INDIRECT(ADDRESS(17,7,1,1,"in"&amp;TEXT(L98,"@")))</f>
        <v>0</v>
      </c>
      <c r="V98" s="335"/>
      <c r="X98" s="336"/>
      <c r="Y98" s="336"/>
      <c r="Z98" s="336"/>
      <c r="AA98" s="336"/>
      <c r="AB98" s="336"/>
      <c r="AC98" s="336"/>
      <c r="AD98" s="267">
        <f>IF(A98&gt;$N$4,0,IF(H98=0,1,H98))</f>
        <v>0</v>
      </c>
      <c r="AE98" s="267"/>
      <c r="AF98" s="335"/>
      <c r="AG98" s="335"/>
      <c r="AI98" s="336"/>
      <c r="AJ98" s="336"/>
      <c r="AK98" s="336"/>
      <c r="AL98" s="336"/>
      <c r="AM98" s="336"/>
      <c r="AN98" s="336"/>
      <c r="AO98" s="267">
        <f>IF(L98&gt;$N$4,0,IF(S98=0,1,S98))</f>
        <v>0</v>
      </c>
      <c r="AP98" s="267"/>
      <c r="AQ98" s="335"/>
      <c r="AR98" s="335"/>
    </row>
    <row r="99" spans="1:44" x14ac:dyDescent="0.25">
      <c r="B99" s="268">
        <v>1</v>
      </c>
      <c r="C99" s="268">
        <v>2</v>
      </c>
      <c r="D99" s="268">
        <v>3</v>
      </c>
      <c r="E99" s="268">
        <v>4</v>
      </c>
      <c r="F99" s="268">
        <v>5</v>
      </c>
      <c r="G99" s="268">
        <v>6</v>
      </c>
      <c r="H99" s="268">
        <v>7</v>
      </c>
      <c r="I99" s="268">
        <v>8</v>
      </c>
      <c r="J99" s="255">
        <v>9</v>
      </c>
      <c r="K99" s="255">
        <v>10</v>
      </c>
      <c r="M99" s="268">
        <v>1</v>
      </c>
      <c r="N99" s="268">
        <v>2</v>
      </c>
      <c r="O99" s="268">
        <v>3</v>
      </c>
      <c r="P99" s="268">
        <v>4</v>
      </c>
      <c r="Q99" s="268">
        <v>5</v>
      </c>
      <c r="R99" s="268">
        <v>6</v>
      </c>
      <c r="S99" s="268">
        <v>7</v>
      </c>
      <c r="T99" s="268">
        <v>8</v>
      </c>
      <c r="U99" s="255">
        <v>9</v>
      </c>
      <c r="V99" s="255">
        <v>10</v>
      </c>
      <c r="X99" s="268"/>
      <c r="Y99" s="268"/>
      <c r="Z99" s="268"/>
      <c r="AA99" s="268"/>
      <c r="AB99" s="268"/>
      <c r="AC99" s="268"/>
      <c r="AD99" s="268"/>
      <c r="AE99" s="268"/>
      <c r="AI99" s="268"/>
      <c r="AJ99" s="268"/>
      <c r="AK99" s="268"/>
      <c r="AL99" s="268"/>
      <c r="AM99" s="268"/>
      <c r="AN99" s="268"/>
      <c r="AO99" s="268"/>
      <c r="AP99" s="268"/>
    </row>
    <row r="100" spans="1:44" x14ac:dyDescent="0.25">
      <c r="A100" s="255">
        <v>1</v>
      </c>
      <c r="B100" s="270">
        <f t="array" ref="B100:K109">Matrix14</f>
        <v>1</v>
      </c>
      <c r="C100" s="271">
        <v>1</v>
      </c>
      <c r="D100" s="271">
        <v>1</v>
      </c>
      <c r="E100" s="271">
        <v>0</v>
      </c>
      <c r="F100" s="271">
        <v>0</v>
      </c>
      <c r="G100" s="271">
        <v>0</v>
      </c>
      <c r="H100" s="271">
        <v>0</v>
      </c>
      <c r="I100" s="271">
        <v>0</v>
      </c>
      <c r="J100" s="271">
        <v>0</v>
      </c>
      <c r="K100" s="271">
        <v>0</v>
      </c>
      <c r="L100" s="255">
        <v>1</v>
      </c>
      <c r="M100" s="270">
        <f t="array" ref="M100:V109">Matrix15</f>
        <v>1</v>
      </c>
      <c r="N100" s="271">
        <v>1</v>
      </c>
      <c r="O100" s="271">
        <v>1</v>
      </c>
      <c r="P100" s="271">
        <v>0</v>
      </c>
      <c r="Q100" s="271">
        <v>0</v>
      </c>
      <c r="R100" s="271">
        <v>0</v>
      </c>
      <c r="S100" s="271">
        <v>0</v>
      </c>
      <c r="T100" s="271">
        <v>0</v>
      </c>
      <c r="U100" s="271">
        <v>0</v>
      </c>
      <c r="V100" s="271">
        <v>0</v>
      </c>
      <c r="X100" s="272"/>
      <c r="Y100" s="273">
        <f t="shared" ref="Y100:AG100" si="63">IF(C100=0,"",LN(C100))</f>
        <v>0</v>
      </c>
      <c r="Z100" s="273">
        <f t="shared" si="63"/>
        <v>0</v>
      </c>
      <c r="AA100" s="273" t="str">
        <f t="shared" si="63"/>
        <v/>
      </c>
      <c r="AB100" s="273" t="str">
        <f t="shared" si="63"/>
        <v/>
      </c>
      <c r="AC100" s="273" t="str">
        <f t="shared" si="63"/>
        <v/>
      </c>
      <c r="AD100" s="273" t="str">
        <f t="shared" si="63"/>
        <v/>
      </c>
      <c r="AE100" s="273" t="str">
        <f t="shared" si="63"/>
        <v/>
      </c>
      <c r="AF100" s="273" t="str">
        <f t="shared" si="63"/>
        <v/>
      </c>
      <c r="AG100" s="273" t="str">
        <f t="shared" si="63"/>
        <v/>
      </c>
      <c r="AI100" s="272"/>
      <c r="AJ100" s="273">
        <f t="shared" ref="AJ100:AR100" si="64">IF(N100=0,"",LN(N100))</f>
        <v>0</v>
      </c>
      <c r="AK100" s="273">
        <f t="shared" si="64"/>
        <v>0</v>
      </c>
      <c r="AL100" s="273" t="str">
        <f t="shared" si="64"/>
        <v/>
      </c>
      <c r="AM100" s="273" t="str">
        <f t="shared" si="64"/>
        <v/>
      </c>
      <c r="AN100" s="273" t="str">
        <f t="shared" si="64"/>
        <v/>
      </c>
      <c r="AO100" s="273" t="str">
        <f t="shared" si="64"/>
        <v/>
      </c>
      <c r="AP100" s="273" t="str">
        <f t="shared" si="64"/>
        <v/>
      </c>
      <c r="AQ100" s="273" t="str">
        <f t="shared" si="64"/>
        <v/>
      </c>
      <c r="AR100" s="273" t="str">
        <f t="shared" si="64"/>
        <v/>
      </c>
    </row>
    <row r="101" spans="1:44" x14ac:dyDescent="0.25">
      <c r="A101" s="255">
        <v>2</v>
      </c>
      <c r="B101" s="271">
        <v>1</v>
      </c>
      <c r="C101" s="270">
        <v>1</v>
      </c>
      <c r="D101" s="271">
        <v>1</v>
      </c>
      <c r="E101" s="271">
        <v>0</v>
      </c>
      <c r="F101" s="271">
        <v>0</v>
      </c>
      <c r="G101" s="271">
        <v>0</v>
      </c>
      <c r="H101" s="271">
        <v>0</v>
      </c>
      <c r="I101" s="271">
        <v>0</v>
      </c>
      <c r="J101" s="271">
        <v>0</v>
      </c>
      <c r="K101" s="271">
        <v>0</v>
      </c>
      <c r="L101" s="255">
        <v>2</v>
      </c>
      <c r="M101" s="271">
        <v>1</v>
      </c>
      <c r="N101" s="270">
        <v>1</v>
      </c>
      <c r="O101" s="271">
        <v>1</v>
      </c>
      <c r="P101" s="271">
        <v>0</v>
      </c>
      <c r="Q101" s="271">
        <v>0</v>
      </c>
      <c r="R101" s="271">
        <v>0</v>
      </c>
      <c r="S101" s="271">
        <v>0</v>
      </c>
      <c r="T101" s="271">
        <v>0</v>
      </c>
      <c r="U101" s="271">
        <v>0</v>
      </c>
      <c r="V101" s="271">
        <v>0</v>
      </c>
      <c r="X101" s="273"/>
      <c r="Y101" s="272"/>
      <c r="Z101" s="273">
        <f t="shared" ref="Z101:AG101" si="65">IF(D101=0,"",LN(D101))</f>
        <v>0</v>
      </c>
      <c r="AA101" s="273" t="str">
        <f t="shared" si="65"/>
        <v/>
      </c>
      <c r="AB101" s="273" t="str">
        <f t="shared" si="65"/>
        <v/>
      </c>
      <c r="AC101" s="273" t="str">
        <f t="shared" si="65"/>
        <v/>
      </c>
      <c r="AD101" s="273" t="str">
        <f t="shared" si="65"/>
        <v/>
      </c>
      <c r="AE101" s="273" t="str">
        <f t="shared" si="65"/>
        <v/>
      </c>
      <c r="AF101" s="273" t="str">
        <f t="shared" si="65"/>
        <v/>
      </c>
      <c r="AG101" s="273" t="str">
        <f t="shared" si="65"/>
        <v/>
      </c>
      <c r="AI101" s="273"/>
      <c r="AJ101" s="272"/>
      <c r="AK101" s="273">
        <f t="shared" ref="AK101:AR101" si="66">IF(O101=0,"",LN(O101))</f>
        <v>0</v>
      </c>
      <c r="AL101" s="273" t="str">
        <f t="shared" si="66"/>
        <v/>
      </c>
      <c r="AM101" s="273" t="str">
        <f t="shared" si="66"/>
        <v/>
      </c>
      <c r="AN101" s="273" t="str">
        <f t="shared" si="66"/>
        <v/>
      </c>
      <c r="AO101" s="273" t="str">
        <f t="shared" si="66"/>
        <v/>
      </c>
      <c r="AP101" s="273" t="str">
        <f t="shared" si="66"/>
        <v/>
      </c>
      <c r="AQ101" s="273" t="str">
        <f t="shared" si="66"/>
        <v/>
      </c>
      <c r="AR101" s="273" t="str">
        <f t="shared" si="66"/>
        <v/>
      </c>
    </row>
    <row r="102" spans="1:44" x14ac:dyDescent="0.25">
      <c r="A102" s="255">
        <v>3</v>
      </c>
      <c r="B102" s="271">
        <v>1</v>
      </c>
      <c r="C102" s="271">
        <v>1</v>
      </c>
      <c r="D102" s="270">
        <v>1</v>
      </c>
      <c r="E102" s="271">
        <v>0</v>
      </c>
      <c r="F102" s="271">
        <v>0</v>
      </c>
      <c r="G102" s="271">
        <v>0</v>
      </c>
      <c r="H102" s="271">
        <v>0</v>
      </c>
      <c r="I102" s="271">
        <v>0</v>
      </c>
      <c r="J102" s="271">
        <v>0</v>
      </c>
      <c r="K102" s="271">
        <v>0</v>
      </c>
      <c r="L102" s="255">
        <v>3</v>
      </c>
      <c r="M102" s="271">
        <v>1</v>
      </c>
      <c r="N102" s="271">
        <v>1</v>
      </c>
      <c r="O102" s="270">
        <v>1</v>
      </c>
      <c r="P102" s="271">
        <v>0</v>
      </c>
      <c r="Q102" s="271">
        <v>0</v>
      </c>
      <c r="R102" s="271">
        <v>0</v>
      </c>
      <c r="S102" s="271">
        <v>0</v>
      </c>
      <c r="T102" s="271">
        <v>0</v>
      </c>
      <c r="U102" s="271">
        <v>0</v>
      </c>
      <c r="V102" s="271">
        <v>0</v>
      </c>
      <c r="X102" s="273"/>
      <c r="Y102" s="273"/>
      <c r="Z102" s="272"/>
      <c r="AA102" s="273" t="str">
        <f t="shared" ref="AA102:AG102" si="67">IF(E102=0,"",LN(E102))</f>
        <v/>
      </c>
      <c r="AB102" s="273" t="str">
        <f t="shared" si="67"/>
        <v/>
      </c>
      <c r="AC102" s="273" t="str">
        <f t="shared" si="67"/>
        <v/>
      </c>
      <c r="AD102" s="273" t="str">
        <f t="shared" si="67"/>
        <v/>
      </c>
      <c r="AE102" s="273" t="str">
        <f t="shared" si="67"/>
        <v/>
      </c>
      <c r="AF102" s="273" t="str">
        <f t="shared" si="67"/>
        <v/>
      </c>
      <c r="AG102" s="273" t="str">
        <f t="shared" si="67"/>
        <v/>
      </c>
      <c r="AI102" s="273"/>
      <c r="AJ102" s="273"/>
      <c r="AK102" s="272"/>
      <c r="AL102" s="273" t="str">
        <f t="shared" ref="AL102:AR102" si="68">IF(P102=0,"",LN(P102))</f>
        <v/>
      </c>
      <c r="AM102" s="273" t="str">
        <f t="shared" si="68"/>
        <v/>
      </c>
      <c r="AN102" s="273" t="str">
        <f t="shared" si="68"/>
        <v/>
      </c>
      <c r="AO102" s="273" t="str">
        <f t="shared" si="68"/>
        <v/>
      </c>
      <c r="AP102" s="273" t="str">
        <f t="shared" si="68"/>
        <v/>
      </c>
      <c r="AQ102" s="273" t="str">
        <f t="shared" si="68"/>
        <v/>
      </c>
      <c r="AR102" s="273" t="str">
        <f t="shared" si="68"/>
        <v/>
      </c>
    </row>
    <row r="103" spans="1:44" x14ac:dyDescent="0.25">
      <c r="A103" s="255">
        <v>4</v>
      </c>
      <c r="B103" s="271">
        <v>0</v>
      </c>
      <c r="C103" s="271">
        <v>0</v>
      </c>
      <c r="D103" s="271">
        <v>0</v>
      </c>
      <c r="E103" s="270">
        <v>1</v>
      </c>
      <c r="F103" s="271">
        <v>0</v>
      </c>
      <c r="G103" s="271">
        <v>0</v>
      </c>
      <c r="H103" s="271">
        <v>0</v>
      </c>
      <c r="I103" s="271">
        <v>0</v>
      </c>
      <c r="J103" s="271">
        <v>0</v>
      </c>
      <c r="K103" s="271">
        <v>0</v>
      </c>
      <c r="L103" s="255">
        <v>4</v>
      </c>
      <c r="M103" s="271">
        <v>0</v>
      </c>
      <c r="N103" s="271">
        <v>0</v>
      </c>
      <c r="O103" s="271">
        <v>0</v>
      </c>
      <c r="P103" s="270">
        <v>1</v>
      </c>
      <c r="Q103" s="271">
        <v>0</v>
      </c>
      <c r="R103" s="271">
        <v>0</v>
      </c>
      <c r="S103" s="271">
        <v>0</v>
      </c>
      <c r="T103" s="271">
        <v>0</v>
      </c>
      <c r="U103" s="271">
        <v>0</v>
      </c>
      <c r="V103" s="271">
        <v>0</v>
      </c>
      <c r="X103" s="273"/>
      <c r="Y103" s="273"/>
      <c r="Z103" s="273"/>
      <c r="AA103" s="272"/>
      <c r="AB103" s="273" t="str">
        <f t="shared" ref="AB103:AG103" si="69">IF(F103=0,"",LN(F103))</f>
        <v/>
      </c>
      <c r="AC103" s="273" t="str">
        <f t="shared" si="69"/>
        <v/>
      </c>
      <c r="AD103" s="273" t="str">
        <f t="shared" si="69"/>
        <v/>
      </c>
      <c r="AE103" s="273" t="str">
        <f t="shared" si="69"/>
        <v/>
      </c>
      <c r="AF103" s="273" t="str">
        <f t="shared" si="69"/>
        <v/>
      </c>
      <c r="AG103" s="273" t="str">
        <f t="shared" si="69"/>
        <v/>
      </c>
      <c r="AI103" s="273"/>
      <c r="AJ103" s="273"/>
      <c r="AK103" s="273"/>
      <c r="AL103" s="272"/>
      <c r="AM103" s="273" t="str">
        <f t="shared" ref="AM103:AR103" si="70">IF(Q103=0,"",LN(Q103))</f>
        <v/>
      </c>
      <c r="AN103" s="273" t="str">
        <f t="shared" si="70"/>
        <v/>
      </c>
      <c r="AO103" s="273" t="str">
        <f t="shared" si="70"/>
        <v/>
      </c>
      <c r="AP103" s="273" t="str">
        <f t="shared" si="70"/>
        <v/>
      </c>
      <c r="AQ103" s="273" t="str">
        <f t="shared" si="70"/>
        <v/>
      </c>
      <c r="AR103" s="273" t="str">
        <f t="shared" si="70"/>
        <v/>
      </c>
    </row>
    <row r="104" spans="1:44" x14ac:dyDescent="0.25">
      <c r="A104" s="255">
        <v>5</v>
      </c>
      <c r="B104" s="271">
        <v>0</v>
      </c>
      <c r="C104" s="271">
        <v>0</v>
      </c>
      <c r="D104" s="271">
        <v>0</v>
      </c>
      <c r="E104" s="271">
        <v>0</v>
      </c>
      <c r="F104" s="270">
        <v>1</v>
      </c>
      <c r="G104" s="271">
        <v>0</v>
      </c>
      <c r="H104" s="271">
        <v>0</v>
      </c>
      <c r="I104" s="271">
        <v>0</v>
      </c>
      <c r="J104" s="271">
        <v>0</v>
      </c>
      <c r="K104" s="271">
        <v>0</v>
      </c>
      <c r="L104" s="255">
        <v>5</v>
      </c>
      <c r="M104" s="271">
        <v>0</v>
      </c>
      <c r="N104" s="271">
        <v>0</v>
      </c>
      <c r="O104" s="271">
        <v>0</v>
      </c>
      <c r="P104" s="271">
        <v>0</v>
      </c>
      <c r="Q104" s="270">
        <v>1</v>
      </c>
      <c r="R104" s="271">
        <v>0</v>
      </c>
      <c r="S104" s="271">
        <v>0</v>
      </c>
      <c r="T104" s="271">
        <v>0</v>
      </c>
      <c r="U104" s="271">
        <v>0</v>
      </c>
      <c r="V104" s="271">
        <v>0</v>
      </c>
      <c r="X104" s="273"/>
      <c r="Y104" s="273"/>
      <c r="Z104" s="273"/>
      <c r="AA104" s="273"/>
      <c r="AB104" s="272"/>
      <c r="AC104" s="273" t="str">
        <f>IF(G104=0,"",LN(G104))</f>
        <v/>
      </c>
      <c r="AD104" s="273" t="str">
        <f>IF(H104=0,"",LN(H104))</f>
        <v/>
      </c>
      <c r="AE104" s="273" t="str">
        <f>IF(I104=0,"",LN(I104))</f>
        <v/>
      </c>
      <c r="AF104" s="273" t="str">
        <f>IF(J104=0,"",LN(J104))</f>
        <v/>
      </c>
      <c r="AG104" s="273" t="str">
        <f>IF(K104=0,"",LN(K104))</f>
        <v/>
      </c>
      <c r="AI104" s="273"/>
      <c r="AJ104" s="273"/>
      <c r="AK104" s="273"/>
      <c r="AL104" s="273"/>
      <c r="AM104" s="272"/>
      <c r="AN104" s="273" t="str">
        <f>IF(R104=0,"",LN(R104))</f>
        <v/>
      </c>
      <c r="AO104" s="273" t="str">
        <f>IF(S104=0,"",LN(S104))</f>
        <v/>
      </c>
      <c r="AP104" s="273" t="str">
        <f>IF(T104=0,"",LN(T104))</f>
        <v/>
      </c>
      <c r="AQ104" s="273" t="str">
        <f>IF(U104=0,"",LN(U104))</f>
        <v/>
      </c>
      <c r="AR104" s="273" t="str">
        <f>IF(V104=0,"",LN(V104))</f>
        <v/>
      </c>
    </row>
    <row r="105" spans="1:44" x14ac:dyDescent="0.25">
      <c r="A105" s="255">
        <v>6</v>
      </c>
      <c r="B105" s="271">
        <v>0</v>
      </c>
      <c r="C105" s="271">
        <v>0</v>
      </c>
      <c r="D105" s="271">
        <v>0</v>
      </c>
      <c r="E105" s="271">
        <v>0</v>
      </c>
      <c r="F105" s="271">
        <v>0</v>
      </c>
      <c r="G105" s="270">
        <v>1</v>
      </c>
      <c r="H105" s="271">
        <v>0</v>
      </c>
      <c r="I105" s="271">
        <v>0</v>
      </c>
      <c r="J105" s="271">
        <v>0</v>
      </c>
      <c r="K105" s="271">
        <v>0</v>
      </c>
      <c r="L105" s="255">
        <v>6</v>
      </c>
      <c r="M105" s="271">
        <v>0</v>
      </c>
      <c r="N105" s="271">
        <v>0</v>
      </c>
      <c r="O105" s="271">
        <v>0</v>
      </c>
      <c r="P105" s="271">
        <v>0</v>
      </c>
      <c r="Q105" s="271">
        <v>0</v>
      </c>
      <c r="R105" s="270">
        <v>1</v>
      </c>
      <c r="S105" s="271">
        <v>0</v>
      </c>
      <c r="T105" s="271">
        <v>0</v>
      </c>
      <c r="U105" s="271">
        <v>0</v>
      </c>
      <c r="V105" s="271">
        <v>0</v>
      </c>
      <c r="X105" s="273"/>
      <c r="Y105" s="273"/>
      <c r="Z105" s="273"/>
      <c r="AA105" s="273"/>
      <c r="AB105" s="273"/>
      <c r="AC105" s="272"/>
      <c r="AD105" s="273" t="str">
        <f>IF(H105=0,"",LN(H105))</f>
        <v/>
      </c>
      <c r="AE105" s="273" t="str">
        <f>IF(I105=0,"",LN(I105))</f>
        <v/>
      </c>
      <c r="AF105" s="273" t="str">
        <f>IF(J105=0,"",LN(J105))</f>
        <v/>
      </c>
      <c r="AG105" s="273" t="str">
        <f>IF(K105=0,"",LN(K105))</f>
        <v/>
      </c>
      <c r="AI105" s="273"/>
      <c r="AJ105" s="273"/>
      <c r="AK105" s="273"/>
      <c r="AL105" s="273"/>
      <c r="AM105" s="273"/>
      <c r="AN105" s="272"/>
      <c r="AO105" s="273" t="str">
        <f>IF(S105=0,"",LN(S105))</f>
        <v/>
      </c>
      <c r="AP105" s="273" t="str">
        <f>IF(T105=0,"",LN(T105))</f>
        <v/>
      </c>
      <c r="AQ105" s="273" t="str">
        <f>IF(U105=0,"",LN(U105))</f>
        <v/>
      </c>
      <c r="AR105" s="273" t="str">
        <f>IF(V105=0,"",LN(V105))</f>
        <v/>
      </c>
    </row>
    <row r="106" spans="1:44" x14ac:dyDescent="0.25">
      <c r="A106" s="255">
        <v>7</v>
      </c>
      <c r="B106" s="271">
        <v>0</v>
      </c>
      <c r="C106" s="271">
        <v>0</v>
      </c>
      <c r="D106" s="271">
        <v>0</v>
      </c>
      <c r="E106" s="271">
        <v>0</v>
      </c>
      <c r="F106" s="271">
        <v>0</v>
      </c>
      <c r="G106" s="271">
        <v>0</v>
      </c>
      <c r="H106" s="270">
        <v>1</v>
      </c>
      <c r="I106" s="271">
        <v>0</v>
      </c>
      <c r="J106" s="271">
        <v>0</v>
      </c>
      <c r="K106" s="271">
        <v>0</v>
      </c>
      <c r="L106" s="255">
        <v>7</v>
      </c>
      <c r="M106" s="271">
        <v>0</v>
      </c>
      <c r="N106" s="271">
        <v>0</v>
      </c>
      <c r="O106" s="271">
        <v>0</v>
      </c>
      <c r="P106" s="271">
        <v>0</v>
      </c>
      <c r="Q106" s="271">
        <v>0</v>
      </c>
      <c r="R106" s="271">
        <v>0</v>
      </c>
      <c r="S106" s="270">
        <v>1</v>
      </c>
      <c r="T106" s="271">
        <v>0</v>
      </c>
      <c r="U106" s="271">
        <v>0</v>
      </c>
      <c r="V106" s="271">
        <v>0</v>
      </c>
      <c r="X106" s="273"/>
      <c r="Y106" s="273"/>
      <c r="Z106" s="273"/>
      <c r="AA106" s="273"/>
      <c r="AB106" s="273"/>
      <c r="AC106" s="273"/>
      <c r="AD106" s="272"/>
      <c r="AE106" s="273" t="str">
        <f>IF(I106=0,"",LN(I106))</f>
        <v/>
      </c>
      <c r="AF106" s="273" t="str">
        <f>IF(J106=0,"",LN(J106))</f>
        <v/>
      </c>
      <c r="AG106" s="273" t="str">
        <f>IF(K106=0,"",LN(K106))</f>
        <v/>
      </c>
      <c r="AI106" s="273"/>
      <c r="AJ106" s="273"/>
      <c r="AK106" s="273"/>
      <c r="AL106" s="273"/>
      <c r="AM106" s="273"/>
      <c r="AN106" s="273"/>
      <c r="AO106" s="272"/>
      <c r="AP106" s="273" t="str">
        <f>IF(T106=0,"",LN(T106))</f>
        <v/>
      </c>
      <c r="AQ106" s="273" t="str">
        <f>IF(U106=0,"",LN(U106))</f>
        <v/>
      </c>
      <c r="AR106" s="273" t="str">
        <f>IF(V106=0,"",LN(V106))</f>
        <v/>
      </c>
    </row>
    <row r="107" spans="1:44" x14ac:dyDescent="0.25">
      <c r="A107" s="255">
        <v>8</v>
      </c>
      <c r="B107" s="271">
        <v>0</v>
      </c>
      <c r="C107" s="271">
        <v>0</v>
      </c>
      <c r="D107" s="271">
        <v>0</v>
      </c>
      <c r="E107" s="271">
        <v>0</v>
      </c>
      <c r="F107" s="271">
        <v>0</v>
      </c>
      <c r="G107" s="271">
        <v>0</v>
      </c>
      <c r="H107" s="271">
        <v>0</v>
      </c>
      <c r="I107" s="270">
        <v>1</v>
      </c>
      <c r="J107" s="271">
        <v>0</v>
      </c>
      <c r="K107" s="271">
        <v>0</v>
      </c>
      <c r="L107" s="255">
        <v>8</v>
      </c>
      <c r="M107" s="271">
        <v>0</v>
      </c>
      <c r="N107" s="271">
        <v>0</v>
      </c>
      <c r="O107" s="271">
        <v>0</v>
      </c>
      <c r="P107" s="271">
        <v>0</v>
      </c>
      <c r="Q107" s="271">
        <v>0</v>
      </c>
      <c r="R107" s="271">
        <v>0</v>
      </c>
      <c r="S107" s="271">
        <v>0</v>
      </c>
      <c r="T107" s="270">
        <v>1</v>
      </c>
      <c r="U107" s="271">
        <v>0</v>
      </c>
      <c r="V107" s="271">
        <v>0</v>
      </c>
      <c r="X107" s="273"/>
      <c r="Y107" s="273"/>
      <c r="Z107" s="273"/>
      <c r="AA107" s="273"/>
      <c r="AB107" s="273"/>
      <c r="AC107" s="273"/>
      <c r="AD107" s="273"/>
      <c r="AE107" s="272"/>
      <c r="AF107" s="273" t="str">
        <f>IF(J107=0,"",LN(J107))</f>
        <v/>
      </c>
      <c r="AG107" s="273" t="str">
        <f>IF(K107=0,"",LN(K107))</f>
        <v/>
      </c>
      <c r="AI107" s="273"/>
      <c r="AJ107" s="273"/>
      <c r="AK107" s="273"/>
      <c r="AL107" s="273"/>
      <c r="AM107" s="273"/>
      <c r="AN107" s="273"/>
      <c r="AO107" s="273"/>
      <c r="AP107" s="272"/>
      <c r="AQ107" s="273" t="str">
        <f>IF(U107=0,"",LN(U107))</f>
        <v/>
      </c>
      <c r="AR107" s="273" t="str">
        <f>IF(V107=0,"",LN(V107))</f>
        <v/>
      </c>
    </row>
    <row r="108" spans="1:44" x14ac:dyDescent="0.25">
      <c r="A108" s="255">
        <v>9</v>
      </c>
      <c r="B108" s="271">
        <v>0</v>
      </c>
      <c r="C108" s="271">
        <v>0</v>
      </c>
      <c r="D108" s="271">
        <v>0</v>
      </c>
      <c r="E108" s="271">
        <v>0</v>
      </c>
      <c r="F108" s="271">
        <v>0</v>
      </c>
      <c r="G108" s="271">
        <v>0</v>
      </c>
      <c r="H108" s="271">
        <v>0</v>
      </c>
      <c r="I108" s="271">
        <v>0</v>
      </c>
      <c r="J108" s="270">
        <v>1</v>
      </c>
      <c r="K108" s="271">
        <v>0</v>
      </c>
      <c r="L108" s="255">
        <v>9</v>
      </c>
      <c r="M108" s="271">
        <v>0</v>
      </c>
      <c r="N108" s="271">
        <v>0</v>
      </c>
      <c r="O108" s="271">
        <v>0</v>
      </c>
      <c r="P108" s="271">
        <v>0</v>
      </c>
      <c r="Q108" s="271">
        <v>0</v>
      </c>
      <c r="R108" s="271">
        <v>0</v>
      </c>
      <c r="S108" s="271">
        <v>0</v>
      </c>
      <c r="T108" s="271">
        <v>0</v>
      </c>
      <c r="U108" s="270">
        <v>1</v>
      </c>
      <c r="V108" s="271">
        <v>0</v>
      </c>
      <c r="X108" s="273"/>
      <c r="Y108" s="273"/>
      <c r="Z108" s="273"/>
      <c r="AA108" s="273"/>
      <c r="AB108" s="273"/>
      <c r="AC108" s="273"/>
      <c r="AD108" s="273"/>
      <c r="AE108" s="273"/>
      <c r="AF108" s="272"/>
      <c r="AG108" s="273" t="str">
        <f>IF(K108=0,"",LN(K108))</f>
        <v/>
      </c>
      <c r="AI108" s="273"/>
      <c r="AJ108" s="273"/>
      <c r="AK108" s="273"/>
      <c r="AL108" s="273"/>
      <c r="AM108" s="273"/>
      <c r="AN108" s="273"/>
      <c r="AO108" s="273"/>
      <c r="AP108" s="273"/>
      <c r="AQ108" s="272"/>
      <c r="AR108" s="273" t="str">
        <f>IF(V108=0,"",LN(V108))</f>
        <v/>
      </c>
    </row>
    <row r="109" spans="1:44" x14ac:dyDescent="0.25">
      <c r="A109" s="255">
        <v>10</v>
      </c>
      <c r="B109" s="271">
        <v>0</v>
      </c>
      <c r="C109" s="271">
        <v>0</v>
      </c>
      <c r="D109" s="271">
        <v>0</v>
      </c>
      <c r="E109" s="271">
        <v>0</v>
      </c>
      <c r="F109" s="271">
        <v>0</v>
      </c>
      <c r="G109" s="271">
        <v>0</v>
      </c>
      <c r="H109" s="271">
        <v>0</v>
      </c>
      <c r="I109" s="271">
        <v>0</v>
      </c>
      <c r="J109" s="271">
        <v>0</v>
      </c>
      <c r="K109" s="270">
        <v>1</v>
      </c>
      <c r="L109" s="255">
        <v>10</v>
      </c>
      <c r="M109" s="271">
        <v>0</v>
      </c>
      <c r="N109" s="271">
        <v>0</v>
      </c>
      <c r="O109" s="271">
        <v>0</v>
      </c>
      <c r="P109" s="271">
        <v>0</v>
      </c>
      <c r="Q109" s="271">
        <v>0</v>
      </c>
      <c r="R109" s="271">
        <v>0</v>
      </c>
      <c r="S109" s="271">
        <v>0</v>
      </c>
      <c r="T109" s="271">
        <v>0</v>
      </c>
      <c r="U109" s="271">
        <v>0</v>
      </c>
      <c r="V109" s="270">
        <v>1</v>
      </c>
      <c r="X109" s="273"/>
      <c r="Y109" s="273"/>
      <c r="Z109" s="273"/>
      <c r="AA109" s="273"/>
      <c r="AB109" s="273"/>
      <c r="AC109" s="273"/>
      <c r="AD109" s="273"/>
      <c r="AE109" s="273"/>
      <c r="AF109" s="273"/>
      <c r="AG109" s="272"/>
      <c r="AI109" s="273"/>
      <c r="AJ109" s="273"/>
      <c r="AK109" s="273"/>
      <c r="AL109" s="273"/>
      <c r="AM109" s="273"/>
      <c r="AN109" s="273"/>
      <c r="AO109" s="273"/>
      <c r="AP109" s="273"/>
      <c r="AQ109" s="273"/>
      <c r="AR109" s="272"/>
    </row>
    <row r="111" spans="1:44" ht="13" x14ac:dyDescent="0.3">
      <c r="A111" s="263">
        <v>16</v>
      </c>
      <c r="B111" s="336" t="str">
        <f ca="1">INDIRECT(ADDRESS(17,2,1,1,"in"&amp;TEXT(A111,"@")))</f>
        <v>Participant 16</v>
      </c>
      <c r="C111" s="336"/>
      <c r="D111" s="336"/>
      <c r="E111" s="336"/>
      <c r="F111" s="336"/>
      <c r="G111" s="336"/>
      <c r="H111" s="264">
        <f ca="1">INDIRECT(ADDRESS(17,6,1,1,"in"&amp;TEXT(A111,"@")))</f>
        <v>1</v>
      </c>
      <c r="I111" s="265"/>
      <c r="J111" s="335">
        <f ca="1">INDIRECT(ADDRESS(17,7,1,1,"in"&amp;TEXT(A111,"@")))</f>
        <v>0</v>
      </c>
      <c r="K111" s="335"/>
      <c r="L111" s="263">
        <v>17</v>
      </c>
      <c r="M111" s="336" t="str">
        <f ca="1">INDIRECT(ADDRESS(17,2,1,1,"in"&amp;TEXT(L111,"@")))</f>
        <v>Participant 17</v>
      </c>
      <c r="N111" s="336"/>
      <c r="O111" s="336"/>
      <c r="P111" s="336"/>
      <c r="Q111" s="336"/>
      <c r="R111" s="336"/>
      <c r="S111" s="264">
        <f ca="1">INDIRECT(ADDRESS(17,6,1,1,"in"&amp;TEXT(L111,"@")))</f>
        <v>1</v>
      </c>
      <c r="T111" s="265"/>
      <c r="U111" s="335">
        <f ca="1">INDIRECT(ADDRESS(17,7,1,1,"in"&amp;TEXT(L111,"@")))</f>
        <v>0</v>
      </c>
      <c r="V111" s="335"/>
      <c r="X111" s="336"/>
      <c r="Y111" s="336"/>
      <c r="Z111" s="336"/>
      <c r="AA111" s="336"/>
      <c r="AB111" s="336"/>
      <c r="AC111" s="336"/>
      <c r="AD111" s="267">
        <f>IF(A111&gt;$N$4,0,IF(H111=0,1,H111))</f>
        <v>0</v>
      </c>
      <c r="AE111" s="267"/>
      <c r="AF111" s="335"/>
      <c r="AG111" s="335"/>
      <c r="AI111" s="336"/>
      <c r="AJ111" s="336"/>
      <c r="AK111" s="336"/>
      <c r="AL111" s="336"/>
      <c r="AM111" s="336"/>
      <c r="AN111" s="336"/>
      <c r="AO111" s="267">
        <f>IF(L111&gt;$N$4,0,IF(S111=0,1,S111))</f>
        <v>0</v>
      </c>
      <c r="AP111" s="267"/>
      <c r="AQ111" s="335"/>
      <c r="AR111" s="335"/>
    </row>
    <row r="112" spans="1:44" x14ac:dyDescent="0.25">
      <c r="B112" s="268">
        <v>1</v>
      </c>
      <c r="C112" s="268">
        <v>2</v>
      </c>
      <c r="D112" s="268">
        <v>3</v>
      </c>
      <c r="E112" s="268">
        <v>4</v>
      </c>
      <c r="F112" s="268">
        <v>5</v>
      </c>
      <c r="G112" s="268">
        <v>6</v>
      </c>
      <c r="H112" s="268">
        <v>7</v>
      </c>
      <c r="I112" s="268">
        <v>8</v>
      </c>
      <c r="J112" s="255">
        <v>9</v>
      </c>
      <c r="K112" s="255">
        <v>10</v>
      </c>
      <c r="M112" s="268">
        <v>1</v>
      </c>
      <c r="N112" s="268">
        <v>2</v>
      </c>
      <c r="O112" s="268">
        <v>3</v>
      </c>
      <c r="P112" s="268">
        <v>4</v>
      </c>
      <c r="Q112" s="268">
        <v>5</v>
      </c>
      <c r="R112" s="268">
        <v>6</v>
      </c>
      <c r="S112" s="268">
        <v>7</v>
      </c>
      <c r="T112" s="268">
        <v>8</v>
      </c>
      <c r="U112" s="255">
        <v>9</v>
      </c>
      <c r="V112" s="255">
        <v>10</v>
      </c>
      <c r="X112" s="268"/>
      <c r="Y112" s="268"/>
      <c r="Z112" s="268"/>
      <c r="AA112" s="268"/>
      <c r="AB112" s="268"/>
      <c r="AC112" s="268"/>
      <c r="AD112" s="268"/>
      <c r="AE112" s="268"/>
      <c r="AI112" s="268"/>
      <c r="AJ112" s="268"/>
      <c r="AK112" s="268"/>
      <c r="AL112" s="268"/>
      <c r="AM112" s="268"/>
      <c r="AN112" s="268"/>
      <c r="AO112" s="268"/>
      <c r="AP112" s="268"/>
    </row>
    <row r="113" spans="1:44" x14ac:dyDescent="0.25">
      <c r="A113" s="255">
        <v>1</v>
      </c>
      <c r="B113" s="270">
        <f t="array" ref="B113:K122">Matrix16</f>
        <v>1</v>
      </c>
      <c r="C113" s="271">
        <v>1</v>
      </c>
      <c r="D113" s="271">
        <v>1</v>
      </c>
      <c r="E113" s="271">
        <v>0</v>
      </c>
      <c r="F113" s="271">
        <v>0</v>
      </c>
      <c r="G113" s="271">
        <v>0</v>
      </c>
      <c r="H113" s="271">
        <v>0</v>
      </c>
      <c r="I113" s="271">
        <v>0</v>
      </c>
      <c r="J113" s="271">
        <v>0</v>
      </c>
      <c r="K113" s="271">
        <v>0</v>
      </c>
      <c r="L113" s="255">
        <v>1</v>
      </c>
      <c r="M113" s="270">
        <f t="array" ref="M113:V122">Matrix17</f>
        <v>1</v>
      </c>
      <c r="N113" s="271">
        <v>1</v>
      </c>
      <c r="O113" s="271">
        <v>1</v>
      </c>
      <c r="P113" s="271">
        <v>0</v>
      </c>
      <c r="Q113" s="271">
        <v>0</v>
      </c>
      <c r="R113" s="271">
        <v>0</v>
      </c>
      <c r="S113" s="271">
        <v>0</v>
      </c>
      <c r="T113" s="271">
        <v>0</v>
      </c>
      <c r="U113" s="271">
        <v>0</v>
      </c>
      <c r="V113" s="271">
        <v>0</v>
      </c>
      <c r="X113" s="272"/>
      <c r="Y113" s="273">
        <f t="shared" ref="Y113:AG113" si="71">IF(C113=0,"",LN(C113))</f>
        <v>0</v>
      </c>
      <c r="Z113" s="273">
        <f t="shared" si="71"/>
        <v>0</v>
      </c>
      <c r="AA113" s="273" t="str">
        <f t="shared" si="71"/>
        <v/>
      </c>
      <c r="AB113" s="273" t="str">
        <f t="shared" si="71"/>
        <v/>
      </c>
      <c r="AC113" s="273" t="str">
        <f t="shared" si="71"/>
        <v/>
      </c>
      <c r="AD113" s="273" t="str">
        <f t="shared" si="71"/>
        <v/>
      </c>
      <c r="AE113" s="273" t="str">
        <f t="shared" si="71"/>
        <v/>
      </c>
      <c r="AF113" s="273" t="str">
        <f t="shared" si="71"/>
        <v/>
      </c>
      <c r="AG113" s="273" t="str">
        <f t="shared" si="71"/>
        <v/>
      </c>
      <c r="AI113" s="272"/>
      <c r="AJ113" s="273">
        <f t="shared" ref="AJ113:AR113" si="72">IF(N113=0,"",LN(N113))</f>
        <v>0</v>
      </c>
      <c r="AK113" s="273">
        <f t="shared" si="72"/>
        <v>0</v>
      </c>
      <c r="AL113" s="273" t="str">
        <f t="shared" si="72"/>
        <v/>
      </c>
      <c r="AM113" s="273" t="str">
        <f t="shared" si="72"/>
        <v/>
      </c>
      <c r="AN113" s="273" t="str">
        <f t="shared" si="72"/>
        <v/>
      </c>
      <c r="AO113" s="273" t="str">
        <f t="shared" si="72"/>
        <v/>
      </c>
      <c r="AP113" s="273" t="str">
        <f t="shared" si="72"/>
        <v/>
      </c>
      <c r="AQ113" s="273" t="str">
        <f t="shared" si="72"/>
        <v/>
      </c>
      <c r="AR113" s="273" t="str">
        <f t="shared" si="72"/>
        <v/>
      </c>
    </row>
    <row r="114" spans="1:44" x14ac:dyDescent="0.25">
      <c r="A114" s="255">
        <v>2</v>
      </c>
      <c r="B114" s="271">
        <v>1</v>
      </c>
      <c r="C114" s="270">
        <v>1</v>
      </c>
      <c r="D114" s="271">
        <v>1</v>
      </c>
      <c r="E114" s="271">
        <v>0</v>
      </c>
      <c r="F114" s="271">
        <v>0</v>
      </c>
      <c r="G114" s="271">
        <v>0</v>
      </c>
      <c r="H114" s="271">
        <v>0</v>
      </c>
      <c r="I114" s="271">
        <v>0</v>
      </c>
      <c r="J114" s="271">
        <v>0</v>
      </c>
      <c r="K114" s="271">
        <v>0</v>
      </c>
      <c r="L114" s="255">
        <v>2</v>
      </c>
      <c r="M114" s="271">
        <v>1</v>
      </c>
      <c r="N114" s="270">
        <v>1</v>
      </c>
      <c r="O114" s="271">
        <v>1</v>
      </c>
      <c r="P114" s="271">
        <v>0</v>
      </c>
      <c r="Q114" s="271">
        <v>0</v>
      </c>
      <c r="R114" s="271">
        <v>0</v>
      </c>
      <c r="S114" s="271">
        <v>0</v>
      </c>
      <c r="T114" s="271">
        <v>0</v>
      </c>
      <c r="U114" s="271">
        <v>0</v>
      </c>
      <c r="V114" s="271">
        <v>0</v>
      </c>
      <c r="X114" s="273"/>
      <c r="Y114" s="272"/>
      <c r="Z114" s="273">
        <f t="shared" ref="Z114:AG114" si="73">IF(D114=0,"",LN(D114))</f>
        <v>0</v>
      </c>
      <c r="AA114" s="273" t="str">
        <f t="shared" si="73"/>
        <v/>
      </c>
      <c r="AB114" s="273" t="str">
        <f t="shared" si="73"/>
        <v/>
      </c>
      <c r="AC114" s="273" t="str">
        <f t="shared" si="73"/>
        <v/>
      </c>
      <c r="AD114" s="273" t="str">
        <f t="shared" si="73"/>
        <v/>
      </c>
      <c r="AE114" s="273" t="str">
        <f t="shared" si="73"/>
        <v/>
      </c>
      <c r="AF114" s="273" t="str">
        <f t="shared" si="73"/>
        <v/>
      </c>
      <c r="AG114" s="273" t="str">
        <f t="shared" si="73"/>
        <v/>
      </c>
      <c r="AI114" s="273"/>
      <c r="AJ114" s="272"/>
      <c r="AK114" s="273">
        <f t="shared" ref="AK114:AR114" si="74">IF(O114=0,"",LN(O114))</f>
        <v>0</v>
      </c>
      <c r="AL114" s="273" t="str">
        <f t="shared" si="74"/>
        <v/>
      </c>
      <c r="AM114" s="273" t="str">
        <f t="shared" si="74"/>
        <v/>
      </c>
      <c r="AN114" s="273" t="str">
        <f t="shared" si="74"/>
        <v/>
      </c>
      <c r="AO114" s="273" t="str">
        <f t="shared" si="74"/>
        <v/>
      </c>
      <c r="AP114" s="273" t="str">
        <f t="shared" si="74"/>
        <v/>
      </c>
      <c r="AQ114" s="273" t="str">
        <f t="shared" si="74"/>
        <v/>
      </c>
      <c r="AR114" s="273" t="str">
        <f t="shared" si="74"/>
        <v/>
      </c>
    </row>
    <row r="115" spans="1:44" x14ac:dyDescent="0.25">
      <c r="A115" s="255">
        <v>3</v>
      </c>
      <c r="B115" s="271">
        <v>1</v>
      </c>
      <c r="C115" s="271">
        <v>1</v>
      </c>
      <c r="D115" s="270">
        <v>1</v>
      </c>
      <c r="E115" s="271">
        <v>0</v>
      </c>
      <c r="F115" s="271">
        <v>0</v>
      </c>
      <c r="G115" s="271">
        <v>0</v>
      </c>
      <c r="H115" s="271">
        <v>0</v>
      </c>
      <c r="I115" s="271">
        <v>0</v>
      </c>
      <c r="J115" s="271">
        <v>0</v>
      </c>
      <c r="K115" s="271">
        <v>0</v>
      </c>
      <c r="L115" s="255">
        <v>3</v>
      </c>
      <c r="M115" s="271">
        <v>1</v>
      </c>
      <c r="N115" s="271">
        <v>1</v>
      </c>
      <c r="O115" s="270">
        <v>1</v>
      </c>
      <c r="P115" s="271">
        <v>0</v>
      </c>
      <c r="Q115" s="271">
        <v>0</v>
      </c>
      <c r="R115" s="271">
        <v>0</v>
      </c>
      <c r="S115" s="271">
        <v>0</v>
      </c>
      <c r="T115" s="271">
        <v>0</v>
      </c>
      <c r="U115" s="271">
        <v>0</v>
      </c>
      <c r="V115" s="271">
        <v>0</v>
      </c>
      <c r="X115" s="273"/>
      <c r="Y115" s="273"/>
      <c r="Z115" s="272"/>
      <c r="AA115" s="273" t="str">
        <f t="shared" ref="AA115:AG115" si="75">IF(E115=0,"",LN(E115))</f>
        <v/>
      </c>
      <c r="AB115" s="273" t="str">
        <f t="shared" si="75"/>
        <v/>
      </c>
      <c r="AC115" s="273" t="str">
        <f t="shared" si="75"/>
        <v/>
      </c>
      <c r="AD115" s="273" t="str">
        <f t="shared" si="75"/>
        <v/>
      </c>
      <c r="AE115" s="273" t="str">
        <f t="shared" si="75"/>
        <v/>
      </c>
      <c r="AF115" s="273" t="str">
        <f t="shared" si="75"/>
        <v/>
      </c>
      <c r="AG115" s="273" t="str">
        <f t="shared" si="75"/>
        <v/>
      </c>
      <c r="AI115" s="273"/>
      <c r="AJ115" s="273"/>
      <c r="AK115" s="272"/>
      <c r="AL115" s="273" t="str">
        <f t="shared" ref="AL115:AR115" si="76">IF(P115=0,"",LN(P115))</f>
        <v/>
      </c>
      <c r="AM115" s="273" t="str">
        <f t="shared" si="76"/>
        <v/>
      </c>
      <c r="AN115" s="273" t="str">
        <f t="shared" si="76"/>
        <v/>
      </c>
      <c r="AO115" s="273" t="str">
        <f t="shared" si="76"/>
        <v/>
      </c>
      <c r="AP115" s="273" t="str">
        <f t="shared" si="76"/>
        <v/>
      </c>
      <c r="AQ115" s="273" t="str">
        <f t="shared" si="76"/>
        <v/>
      </c>
      <c r="AR115" s="273" t="str">
        <f t="shared" si="76"/>
        <v/>
      </c>
    </row>
    <row r="116" spans="1:44" x14ac:dyDescent="0.25">
      <c r="A116" s="255">
        <v>4</v>
      </c>
      <c r="B116" s="271">
        <v>0</v>
      </c>
      <c r="C116" s="271">
        <v>0</v>
      </c>
      <c r="D116" s="271">
        <v>0</v>
      </c>
      <c r="E116" s="270">
        <v>1</v>
      </c>
      <c r="F116" s="271">
        <v>0</v>
      </c>
      <c r="G116" s="271">
        <v>0</v>
      </c>
      <c r="H116" s="271">
        <v>0</v>
      </c>
      <c r="I116" s="271">
        <v>0</v>
      </c>
      <c r="J116" s="271">
        <v>0</v>
      </c>
      <c r="K116" s="271">
        <v>0</v>
      </c>
      <c r="L116" s="255">
        <v>4</v>
      </c>
      <c r="M116" s="271">
        <v>0</v>
      </c>
      <c r="N116" s="271">
        <v>0</v>
      </c>
      <c r="O116" s="271">
        <v>0</v>
      </c>
      <c r="P116" s="270">
        <v>1</v>
      </c>
      <c r="Q116" s="271">
        <v>0</v>
      </c>
      <c r="R116" s="271">
        <v>0</v>
      </c>
      <c r="S116" s="271">
        <v>0</v>
      </c>
      <c r="T116" s="271">
        <v>0</v>
      </c>
      <c r="U116" s="271">
        <v>0</v>
      </c>
      <c r="V116" s="271">
        <v>0</v>
      </c>
      <c r="X116" s="273"/>
      <c r="Y116" s="273"/>
      <c r="Z116" s="273"/>
      <c r="AA116" s="272"/>
      <c r="AB116" s="273" t="str">
        <f t="shared" ref="AB116:AG116" si="77">IF(F116=0,"",LN(F116))</f>
        <v/>
      </c>
      <c r="AC116" s="273" t="str">
        <f t="shared" si="77"/>
        <v/>
      </c>
      <c r="AD116" s="273" t="str">
        <f t="shared" si="77"/>
        <v/>
      </c>
      <c r="AE116" s="273" t="str">
        <f t="shared" si="77"/>
        <v/>
      </c>
      <c r="AF116" s="273" t="str">
        <f t="shared" si="77"/>
        <v/>
      </c>
      <c r="AG116" s="273" t="str">
        <f t="shared" si="77"/>
        <v/>
      </c>
      <c r="AI116" s="273"/>
      <c r="AJ116" s="273"/>
      <c r="AK116" s="273"/>
      <c r="AL116" s="272"/>
      <c r="AM116" s="273" t="str">
        <f t="shared" ref="AM116:AR116" si="78">IF(Q116=0,"",LN(Q116))</f>
        <v/>
      </c>
      <c r="AN116" s="273" t="str">
        <f t="shared" si="78"/>
        <v/>
      </c>
      <c r="AO116" s="273" t="str">
        <f t="shared" si="78"/>
        <v/>
      </c>
      <c r="AP116" s="273" t="str">
        <f t="shared" si="78"/>
        <v/>
      </c>
      <c r="AQ116" s="273" t="str">
        <f t="shared" si="78"/>
        <v/>
      </c>
      <c r="AR116" s="273" t="str">
        <f t="shared" si="78"/>
        <v/>
      </c>
    </row>
    <row r="117" spans="1:44" x14ac:dyDescent="0.25">
      <c r="A117" s="255">
        <v>5</v>
      </c>
      <c r="B117" s="271">
        <v>0</v>
      </c>
      <c r="C117" s="271">
        <v>0</v>
      </c>
      <c r="D117" s="271">
        <v>0</v>
      </c>
      <c r="E117" s="271">
        <v>0</v>
      </c>
      <c r="F117" s="270">
        <v>1</v>
      </c>
      <c r="G117" s="271">
        <v>0</v>
      </c>
      <c r="H117" s="271">
        <v>0</v>
      </c>
      <c r="I117" s="271">
        <v>0</v>
      </c>
      <c r="J117" s="271">
        <v>0</v>
      </c>
      <c r="K117" s="271">
        <v>0</v>
      </c>
      <c r="L117" s="255">
        <v>5</v>
      </c>
      <c r="M117" s="271">
        <v>0</v>
      </c>
      <c r="N117" s="271">
        <v>0</v>
      </c>
      <c r="O117" s="271">
        <v>0</v>
      </c>
      <c r="P117" s="271">
        <v>0</v>
      </c>
      <c r="Q117" s="270">
        <v>1</v>
      </c>
      <c r="R117" s="271">
        <v>0</v>
      </c>
      <c r="S117" s="271">
        <v>0</v>
      </c>
      <c r="T117" s="271">
        <v>0</v>
      </c>
      <c r="U117" s="271">
        <v>0</v>
      </c>
      <c r="V117" s="271">
        <v>0</v>
      </c>
      <c r="X117" s="273"/>
      <c r="Y117" s="273"/>
      <c r="Z117" s="273"/>
      <c r="AA117" s="273"/>
      <c r="AB117" s="272"/>
      <c r="AC117" s="273" t="str">
        <f>IF(G117=0,"",LN(G117))</f>
        <v/>
      </c>
      <c r="AD117" s="273" t="str">
        <f>IF(H117=0,"",LN(H117))</f>
        <v/>
      </c>
      <c r="AE117" s="273" t="str">
        <f>IF(I117=0,"",LN(I117))</f>
        <v/>
      </c>
      <c r="AF117" s="273" t="str">
        <f>IF(J117=0,"",LN(J117))</f>
        <v/>
      </c>
      <c r="AG117" s="273" t="str">
        <f>IF(K117=0,"",LN(K117))</f>
        <v/>
      </c>
      <c r="AI117" s="273"/>
      <c r="AJ117" s="273"/>
      <c r="AK117" s="273"/>
      <c r="AL117" s="273"/>
      <c r="AM117" s="272"/>
      <c r="AN117" s="273" t="str">
        <f>IF(R117=0,"",LN(R117))</f>
        <v/>
      </c>
      <c r="AO117" s="273" t="str">
        <f>IF(S117=0,"",LN(S117))</f>
        <v/>
      </c>
      <c r="AP117" s="273" t="str">
        <f>IF(T117=0,"",LN(T117))</f>
        <v/>
      </c>
      <c r="AQ117" s="273" t="str">
        <f>IF(U117=0,"",LN(U117))</f>
        <v/>
      </c>
      <c r="AR117" s="273" t="str">
        <f>IF(V117=0,"",LN(V117))</f>
        <v/>
      </c>
    </row>
    <row r="118" spans="1:44" x14ac:dyDescent="0.25">
      <c r="A118" s="255">
        <v>6</v>
      </c>
      <c r="B118" s="271">
        <v>0</v>
      </c>
      <c r="C118" s="271">
        <v>0</v>
      </c>
      <c r="D118" s="271">
        <v>0</v>
      </c>
      <c r="E118" s="271">
        <v>0</v>
      </c>
      <c r="F118" s="271">
        <v>0</v>
      </c>
      <c r="G118" s="270">
        <v>1</v>
      </c>
      <c r="H118" s="271">
        <v>0</v>
      </c>
      <c r="I118" s="271">
        <v>0</v>
      </c>
      <c r="J118" s="271">
        <v>0</v>
      </c>
      <c r="K118" s="271">
        <v>0</v>
      </c>
      <c r="L118" s="255">
        <v>6</v>
      </c>
      <c r="M118" s="271">
        <v>0</v>
      </c>
      <c r="N118" s="271">
        <v>0</v>
      </c>
      <c r="O118" s="271">
        <v>0</v>
      </c>
      <c r="P118" s="271">
        <v>0</v>
      </c>
      <c r="Q118" s="271">
        <v>0</v>
      </c>
      <c r="R118" s="270">
        <v>1</v>
      </c>
      <c r="S118" s="271">
        <v>0</v>
      </c>
      <c r="T118" s="271">
        <v>0</v>
      </c>
      <c r="U118" s="271">
        <v>0</v>
      </c>
      <c r="V118" s="271">
        <v>0</v>
      </c>
      <c r="X118" s="273"/>
      <c r="Y118" s="273"/>
      <c r="Z118" s="273"/>
      <c r="AA118" s="273"/>
      <c r="AB118" s="273"/>
      <c r="AC118" s="272"/>
      <c r="AD118" s="273" t="str">
        <f>IF(H118=0,"",LN(H118))</f>
        <v/>
      </c>
      <c r="AE118" s="273" t="str">
        <f>IF(I118=0,"",LN(I118))</f>
        <v/>
      </c>
      <c r="AF118" s="273" t="str">
        <f>IF(J118=0,"",LN(J118))</f>
        <v/>
      </c>
      <c r="AG118" s="273" t="str">
        <f>IF(K118=0,"",LN(K118))</f>
        <v/>
      </c>
      <c r="AI118" s="273"/>
      <c r="AJ118" s="273"/>
      <c r="AK118" s="273"/>
      <c r="AL118" s="273"/>
      <c r="AM118" s="273"/>
      <c r="AN118" s="272"/>
      <c r="AO118" s="273" t="str">
        <f>IF(S118=0,"",LN(S118))</f>
        <v/>
      </c>
      <c r="AP118" s="273" t="str">
        <f>IF(T118=0,"",LN(T118))</f>
        <v/>
      </c>
      <c r="AQ118" s="273" t="str">
        <f>IF(U118=0,"",LN(U118))</f>
        <v/>
      </c>
      <c r="AR118" s="273" t="str">
        <f>IF(V118=0,"",LN(V118))</f>
        <v/>
      </c>
    </row>
    <row r="119" spans="1:44" x14ac:dyDescent="0.25">
      <c r="A119" s="255">
        <v>7</v>
      </c>
      <c r="B119" s="271">
        <v>0</v>
      </c>
      <c r="C119" s="271">
        <v>0</v>
      </c>
      <c r="D119" s="271">
        <v>0</v>
      </c>
      <c r="E119" s="271">
        <v>0</v>
      </c>
      <c r="F119" s="271">
        <v>0</v>
      </c>
      <c r="G119" s="271">
        <v>0</v>
      </c>
      <c r="H119" s="270">
        <v>1</v>
      </c>
      <c r="I119" s="271">
        <v>0</v>
      </c>
      <c r="J119" s="271">
        <v>0</v>
      </c>
      <c r="K119" s="271">
        <v>0</v>
      </c>
      <c r="L119" s="255">
        <v>7</v>
      </c>
      <c r="M119" s="271">
        <v>0</v>
      </c>
      <c r="N119" s="271">
        <v>0</v>
      </c>
      <c r="O119" s="271">
        <v>0</v>
      </c>
      <c r="P119" s="271">
        <v>0</v>
      </c>
      <c r="Q119" s="271">
        <v>0</v>
      </c>
      <c r="R119" s="271">
        <v>0</v>
      </c>
      <c r="S119" s="270">
        <v>1</v>
      </c>
      <c r="T119" s="271">
        <v>0</v>
      </c>
      <c r="U119" s="271">
        <v>0</v>
      </c>
      <c r="V119" s="271">
        <v>0</v>
      </c>
      <c r="X119" s="273"/>
      <c r="Y119" s="273"/>
      <c r="Z119" s="273"/>
      <c r="AA119" s="273"/>
      <c r="AB119" s="273"/>
      <c r="AC119" s="273"/>
      <c r="AD119" s="272"/>
      <c r="AE119" s="273" t="str">
        <f>IF(I119=0,"",LN(I119))</f>
        <v/>
      </c>
      <c r="AF119" s="273" t="str">
        <f>IF(J119=0,"",LN(J119))</f>
        <v/>
      </c>
      <c r="AG119" s="273" t="str">
        <f>IF(K119=0,"",LN(K119))</f>
        <v/>
      </c>
      <c r="AI119" s="273"/>
      <c r="AJ119" s="273"/>
      <c r="AK119" s="273"/>
      <c r="AL119" s="273"/>
      <c r="AM119" s="273"/>
      <c r="AN119" s="273"/>
      <c r="AO119" s="272"/>
      <c r="AP119" s="273" t="str">
        <f>IF(T119=0,"",LN(T119))</f>
        <v/>
      </c>
      <c r="AQ119" s="273" t="str">
        <f>IF(U119=0,"",LN(U119))</f>
        <v/>
      </c>
      <c r="AR119" s="273" t="str">
        <f>IF(V119=0,"",LN(V119))</f>
        <v/>
      </c>
    </row>
    <row r="120" spans="1:44" x14ac:dyDescent="0.25">
      <c r="A120" s="255">
        <v>8</v>
      </c>
      <c r="B120" s="271">
        <v>0</v>
      </c>
      <c r="C120" s="271">
        <v>0</v>
      </c>
      <c r="D120" s="271">
        <v>0</v>
      </c>
      <c r="E120" s="271">
        <v>0</v>
      </c>
      <c r="F120" s="271">
        <v>0</v>
      </c>
      <c r="G120" s="271">
        <v>0</v>
      </c>
      <c r="H120" s="271">
        <v>0</v>
      </c>
      <c r="I120" s="270">
        <v>1</v>
      </c>
      <c r="J120" s="271">
        <v>0</v>
      </c>
      <c r="K120" s="271">
        <v>0</v>
      </c>
      <c r="L120" s="255">
        <v>8</v>
      </c>
      <c r="M120" s="271">
        <v>0</v>
      </c>
      <c r="N120" s="271">
        <v>0</v>
      </c>
      <c r="O120" s="271">
        <v>0</v>
      </c>
      <c r="P120" s="271">
        <v>0</v>
      </c>
      <c r="Q120" s="271">
        <v>0</v>
      </c>
      <c r="R120" s="271">
        <v>0</v>
      </c>
      <c r="S120" s="271">
        <v>0</v>
      </c>
      <c r="T120" s="270">
        <v>1</v>
      </c>
      <c r="U120" s="271">
        <v>0</v>
      </c>
      <c r="V120" s="271">
        <v>0</v>
      </c>
      <c r="X120" s="273"/>
      <c r="Y120" s="273"/>
      <c r="Z120" s="273"/>
      <c r="AA120" s="273"/>
      <c r="AB120" s="273"/>
      <c r="AC120" s="273"/>
      <c r="AD120" s="273"/>
      <c r="AE120" s="272"/>
      <c r="AF120" s="273" t="str">
        <f>IF(J120=0,"",LN(J120))</f>
        <v/>
      </c>
      <c r="AG120" s="273" t="str">
        <f>IF(K120=0,"",LN(K120))</f>
        <v/>
      </c>
      <c r="AI120" s="273"/>
      <c r="AJ120" s="273"/>
      <c r="AK120" s="273"/>
      <c r="AL120" s="273"/>
      <c r="AM120" s="273"/>
      <c r="AN120" s="273"/>
      <c r="AO120" s="273"/>
      <c r="AP120" s="272"/>
      <c r="AQ120" s="273" t="str">
        <f>IF(U120=0,"",LN(U120))</f>
        <v/>
      </c>
      <c r="AR120" s="273" t="str">
        <f>IF(V120=0,"",LN(V120))</f>
        <v/>
      </c>
    </row>
    <row r="121" spans="1:44" x14ac:dyDescent="0.25">
      <c r="A121" s="255">
        <v>9</v>
      </c>
      <c r="B121" s="271">
        <v>0</v>
      </c>
      <c r="C121" s="271">
        <v>0</v>
      </c>
      <c r="D121" s="271">
        <v>0</v>
      </c>
      <c r="E121" s="271">
        <v>0</v>
      </c>
      <c r="F121" s="271">
        <v>0</v>
      </c>
      <c r="G121" s="271">
        <v>0</v>
      </c>
      <c r="H121" s="271">
        <v>0</v>
      </c>
      <c r="I121" s="271">
        <v>0</v>
      </c>
      <c r="J121" s="270">
        <v>1</v>
      </c>
      <c r="K121" s="271">
        <v>0</v>
      </c>
      <c r="L121" s="255">
        <v>9</v>
      </c>
      <c r="M121" s="271">
        <v>0</v>
      </c>
      <c r="N121" s="271">
        <v>0</v>
      </c>
      <c r="O121" s="271">
        <v>0</v>
      </c>
      <c r="P121" s="271">
        <v>0</v>
      </c>
      <c r="Q121" s="271">
        <v>0</v>
      </c>
      <c r="R121" s="271">
        <v>0</v>
      </c>
      <c r="S121" s="271">
        <v>0</v>
      </c>
      <c r="T121" s="271">
        <v>0</v>
      </c>
      <c r="U121" s="270">
        <v>1</v>
      </c>
      <c r="V121" s="271">
        <v>0</v>
      </c>
      <c r="X121" s="273"/>
      <c r="Y121" s="273"/>
      <c r="Z121" s="273"/>
      <c r="AA121" s="273"/>
      <c r="AB121" s="273"/>
      <c r="AC121" s="273"/>
      <c r="AD121" s="273"/>
      <c r="AE121" s="273"/>
      <c r="AF121" s="272"/>
      <c r="AG121" s="273" t="str">
        <f>IF(K121=0,"",LN(K121))</f>
        <v/>
      </c>
      <c r="AI121" s="273"/>
      <c r="AJ121" s="273"/>
      <c r="AK121" s="273"/>
      <c r="AL121" s="273"/>
      <c r="AM121" s="273"/>
      <c r="AN121" s="273"/>
      <c r="AO121" s="273"/>
      <c r="AP121" s="273"/>
      <c r="AQ121" s="272"/>
      <c r="AR121" s="273" t="str">
        <f>IF(V121=0,"",LN(V121))</f>
        <v/>
      </c>
    </row>
    <row r="122" spans="1:44" x14ac:dyDescent="0.25">
      <c r="A122" s="255">
        <v>10</v>
      </c>
      <c r="B122" s="271">
        <v>0</v>
      </c>
      <c r="C122" s="271">
        <v>0</v>
      </c>
      <c r="D122" s="271">
        <v>0</v>
      </c>
      <c r="E122" s="271">
        <v>0</v>
      </c>
      <c r="F122" s="271">
        <v>0</v>
      </c>
      <c r="G122" s="271">
        <v>0</v>
      </c>
      <c r="H122" s="271">
        <v>0</v>
      </c>
      <c r="I122" s="271">
        <v>0</v>
      </c>
      <c r="J122" s="271">
        <v>0</v>
      </c>
      <c r="K122" s="270">
        <v>1</v>
      </c>
      <c r="L122" s="255">
        <v>10</v>
      </c>
      <c r="M122" s="271">
        <v>0</v>
      </c>
      <c r="N122" s="271">
        <v>0</v>
      </c>
      <c r="O122" s="271">
        <v>0</v>
      </c>
      <c r="P122" s="271">
        <v>0</v>
      </c>
      <c r="Q122" s="271">
        <v>0</v>
      </c>
      <c r="R122" s="271">
        <v>0</v>
      </c>
      <c r="S122" s="271">
        <v>0</v>
      </c>
      <c r="T122" s="271">
        <v>0</v>
      </c>
      <c r="U122" s="271">
        <v>0</v>
      </c>
      <c r="V122" s="270">
        <v>1</v>
      </c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2"/>
      <c r="AI122" s="273"/>
      <c r="AJ122" s="273"/>
      <c r="AK122" s="273"/>
      <c r="AL122" s="273"/>
      <c r="AM122" s="273"/>
      <c r="AN122" s="273"/>
      <c r="AO122" s="273"/>
      <c r="AP122" s="273"/>
      <c r="AQ122" s="273"/>
      <c r="AR122" s="272"/>
    </row>
    <row r="124" spans="1:44" ht="13" x14ac:dyDescent="0.3">
      <c r="A124" s="263">
        <v>18</v>
      </c>
      <c r="B124" s="336" t="str">
        <f ca="1">INDIRECT(ADDRESS(17,2,1,1,"in"&amp;TEXT(A124,"@")))</f>
        <v>Participant 18</v>
      </c>
      <c r="C124" s="336"/>
      <c r="D124" s="336"/>
      <c r="E124" s="336"/>
      <c r="F124" s="336"/>
      <c r="G124" s="336"/>
      <c r="H124" s="264">
        <f ca="1">INDIRECT(ADDRESS(17,6,1,1,"in"&amp;TEXT(A124,"@")))</f>
        <v>1</v>
      </c>
      <c r="I124" s="265"/>
      <c r="J124" s="335">
        <f ca="1">INDIRECT(ADDRESS(17,7,1,1,"in"&amp;TEXT(A124,"@")))</f>
        <v>0</v>
      </c>
      <c r="K124" s="335"/>
      <c r="L124" s="263">
        <v>19</v>
      </c>
      <c r="M124" s="336" t="str">
        <f ca="1">INDIRECT(ADDRESS(17,2,1,1,"in"&amp;TEXT(L124,"@")))</f>
        <v>Participant 19</v>
      </c>
      <c r="N124" s="336"/>
      <c r="O124" s="336"/>
      <c r="P124" s="336"/>
      <c r="Q124" s="336"/>
      <c r="R124" s="336"/>
      <c r="S124" s="264">
        <f ca="1">INDIRECT(ADDRESS(17,6,1,1,"in"&amp;TEXT(L124,"@")))</f>
        <v>1</v>
      </c>
      <c r="T124" s="265"/>
      <c r="U124" s="335">
        <f ca="1">INDIRECT(ADDRESS(17,7,1,1,"in"&amp;TEXT(L124,"@")))</f>
        <v>0</v>
      </c>
      <c r="V124" s="335"/>
      <c r="X124" s="336"/>
      <c r="Y124" s="336"/>
      <c r="Z124" s="336"/>
      <c r="AA124" s="336"/>
      <c r="AB124" s="336"/>
      <c r="AC124" s="336"/>
      <c r="AD124" s="267">
        <f>IF(A124&gt;$N$4,0,IF(H124=0,1,H124))</f>
        <v>0</v>
      </c>
      <c r="AE124" s="267"/>
      <c r="AF124" s="335"/>
      <c r="AG124" s="335"/>
      <c r="AI124" s="336"/>
      <c r="AJ124" s="336"/>
      <c r="AK124" s="336"/>
      <c r="AL124" s="336"/>
      <c r="AM124" s="336"/>
      <c r="AN124" s="336"/>
      <c r="AO124" s="267">
        <f>IF(L124&gt;$N$4,0,IF(S124=0,1,S124))</f>
        <v>0</v>
      </c>
      <c r="AP124" s="267"/>
      <c r="AQ124" s="335"/>
      <c r="AR124" s="335"/>
    </row>
    <row r="125" spans="1:44" x14ac:dyDescent="0.25">
      <c r="B125" s="268">
        <v>1</v>
      </c>
      <c r="C125" s="268">
        <v>2</v>
      </c>
      <c r="D125" s="268">
        <v>3</v>
      </c>
      <c r="E125" s="268">
        <v>4</v>
      </c>
      <c r="F125" s="268">
        <v>5</v>
      </c>
      <c r="G125" s="268">
        <v>6</v>
      </c>
      <c r="H125" s="268">
        <v>7</v>
      </c>
      <c r="I125" s="268">
        <v>8</v>
      </c>
      <c r="J125" s="255">
        <v>9</v>
      </c>
      <c r="K125" s="255">
        <v>10</v>
      </c>
      <c r="M125" s="268">
        <v>1</v>
      </c>
      <c r="N125" s="268">
        <v>2</v>
      </c>
      <c r="O125" s="268">
        <v>3</v>
      </c>
      <c r="P125" s="268">
        <v>4</v>
      </c>
      <c r="Q125" s="268">
        <v>5</v>
      </c>
      <c r="R125" s="268">
        <v>6</v>
      </c>
      <c r="S125" s="268">
        <v>7</v>
      </c>
      <c r="T125" s="268">
        <v>8</v>
      </c>
      <c r="U125" s="255">
        <v>9</v>
      </c>
      <c r="V125" s="255">
        <v>10</v>
      </c>
      <c r="X125" s="268"/>
      <c r="Y125" s="268"/>
      <c r="Z125" s="268"/>
      <c r="AA125" s="268"/>
      <c r="AB125" s="268"/>
      <c r="AC125" s="268"/>
      <c r="AD125" s="268"/>
      <c r="AE125" s="268"/>
      <c r="AI125" s="268"/>
      <c r="AJ125" s="268"/>
      <c r="AK125" s="268"/>
      <c r="AL125" s="268"/>
      <c r="AM125" s="268"/>
      <c r="AN125" s="268"/>
      <c r="AO125" s="268"/>
      <c r="AP125" s="268"/>
    </row>
    <row r="126" spans="1:44" x14ac:dyDescent="0.25">
      <c r="A126" s="255">
        <v>1</v>
      </c>
      <c r="B126" s="270">
        <f t="array" ref="B126:K135">Matrix18</f>
        <v>1</v>
      </c>
      <c r="C126" s="271">
        <v>1</v>
      </c>
      <c r="D126" s="271">
        <v>1</v>
      </c>
      <c r="E126" s="271">
        <v>0</v>
      </c>
      <c r="F126" s="271">
        <v>0</v>
      </c>
      <c r="G126" s="271">
        <v>0</v>
      </c>
      <c r="H126" s="271">
        <v>0</v>
      </c>
      <c r="I126" s="271">
        <v>0</v>
      </c>
      <c r="J126" s="271">
        <v>0</v>
      </c>
      <c r="K126" s="271">
        <v>0</v>
      </c>
      <c r="L126" s="255">
        <v>1</v>
      </c>
      <c r="M126" s="270">
        <f t="array" ref="M126:V135">Matrix19</f>
        <v>1</v>
      </c>
      <c r="N126" s="271">
        <v>1</v>
      </c>
      <c r="O126" s="271">
        <v>1</v>
      </c>
      <c r="P126" s="271">
        <v>0</v>
      </c>
      <c r="Q126" s="271">
        <v>0</v>
      </c>
      <c r="R126" s="271">
        <v>0</v>
      </c>
      <c r="S126" s="271">
        <v>0</v>
      </c>
      <c r="T126" s="271">
        <v>0</v>
      </c>
      <c r="U126" s="271">
        <v>0</v>
      </c>
      <c r="V126" s="271">
        <v>0</v>
      </c>
      <c r="X126" s="272"/>
      <c r="Y126" s="273">
        <f t="shared" ref="Y126:AG126" si="79">IF(C126=0,"",LN(C126))</f>
        <v>0</v>
      </c>
      <c r="Z126" s="273">
        <f t="shared" si="79"/>
        <v>0</v>
      </c>
      <c r="AA126" s="273" t="str">
        <f t="shared" si="79"/>
        <v/>
      </c>
      <c r="AB126" s="273" t="str">
        <f t="shared" si="79"/>
        <v/>
      </c>
      <c r="AC126" s="273" t="str">
        <f t="shared" si="79"/>
        <v/>
      </c>
      <c r="AD126" s="273" t="str">
        <f t="shared" si="79"/>
        <v/>
      </c>
      <c r="AE126" s="273" t="str">
        <f t="shared" si="79"/>
        <v/>
      </c>
      <c r="AF126" s="273" t="str">
        <f t="shared" si="79"/>
        <v/>
      </c>
      <c r="AG126" s="273" t="str">
        <f t="shared" si="79"/>
        <v/>
      </c>
      <c r="AI126" s="272"/>
      <c r="AJ126" s="273">
        <f t="shared" ref="AJ126:AR126" si="80">IF(N126=0,"",LN(N126))</f>
        <v>0</v>
      </c>
      <c r="AK126" s="273">
        <f t="shared" si="80"/>
        <v>0</v>
      </c>
      <c r="AL126" s="273" t="str">
        <f t="shared" si="80"/>
        <v/>
      </c>
      <c r="AM126" s="273" t="str">
        <f t="shared" si="80"/>
        <v/>
      </c>
      <c r="AN126" s="273" t="str">
        <f t="shared" si="80"/>
        <v/>
      </c>
      <c r="AO126" s="273" t="str">
        <f t="shared" si="80"/>
        <v/>
      </c>
      <c r="AP126" s="273" t="str">
        <f t="shared" si="80"/>
        <v/>
      </c>
      <c r="AQ126" s="273" t="str">
        <f t="shared" si="80"/>
        <v/>
      </c>
      <c r="AR126" s="273" t="str">
        <f t="shared" si="80"/>
        <v/>
      </c>
    </row>
    <row r="127" spans="1:44" x14ac:dyDescent="0.25">
      <c r="A127" s="255">
        <v>2</v>
      </c>
      <c r="B127" s="271">
        <v>1</v>
      </c>
      <c r="C127" s="270">
        <v>1</v>
      </c>
      <c r="D127" s="271">
        <v>1</v>
      </c>
      <c r="E127" s="271">
        <v>0</v>
      </c>
      <c r="F127" s="271">
        <v>0</v>
      </c>
      <c r="G127" s="271">
        <v>0</v>
      </c>
      <c r="H127" s="271">
        <v>0</v>
      </c>
      <c r="I127" s="271">
        <v>0</v>
      </c>
      <c r="J127" s="271">
        <v>0</v>
      </c>
      <c r="K127" s="271">
        <v>0</v>
      </c>
      <c r="L127" s="255">
        <v>2</v>
      </c>
      <c r="M127" s="271">
        <v>1</v>
      </c>
      <c r="N127" s="270">
        <v>1</v>
      </c>
      <c r="O127" s="271">
        <v>1</v>
      </c>
      <c r="P127" s="271">
        <v>0</v>
      </c>
      <c r="Q127" s="271">
        <v>0</v>
      </c>
      <c r="R127" s="271">
        <v>0</v>
      </c>
      <c r="S127" s="271">
        <v>0</v>
      </c>
      <c r="T127" s="271">
        <v>0</v>
      </c>
      <c r="U127" s="271">
        <v>0</v>
      </c>
      <c r="V127" s="271">
        <v>0</v>
      </c>
      <c r="X127" s="273"/>
      <c r="Y127" s="272"/>
      <c r="Z127" s="273">
        <f t="shared" ref="Z127:AG127" si="81">IF(D127=0,"",LN(D127))</f>
        <v>0</v>
      </c>
      <c r="AA127" s="273" t="str">
        <f t="shared" si="81"/>
        <v/>
      </c>
      <c r="AB127" s="273" t="str">
        <f t="shared" si="81"/>
        <v/>
      </c>
      <c r="AC127" s="273" t="str">
        <f t="shared" si="81"/>
        <v/>
      </c>
      <c r="AD127" s="273" t="str">
        <f t="shared" si="81"/>
        <v/>
      </c>
      <c r="AE127" s="273" t="str">
        <f t="shared" si="81"/>
        <v/>
      </c>
      <c r="AF127" s="273" t="str">
        <f t="shared" si="81"/>
        <v/>
      </c>
      <c r="AG127" s="273" t="str">
        <f t="shared" si="81"/>
        <v/>
      </c>
      <c r="AI127" s="273"/>
      <c r="AJ127" s="272"/>
      <c r="AK127" s="273">
        <f t="shared" ref="AK127:AR127" si="82">IF(O127=0,"",LN(O127))</f>
        <v>0</v>
      </c>
      <c r="AL127" s="273" t="str">
        <f t="shared" si="82"/>
        <v/>
      </c>
      <c r="AM127" s="273" t="str">
        <f t="shared" si="82"/>
        <v/>
      </c>
      <c r="AN127" s="273" t="str">
        <f t="shared" si="82"/>
        <v/>
      </c>
      <c r="AO127" s="273" t="str">
        <f t="shared" si="82"/>
        <v/>
      </c>
      <c r="AP127" s="273" t="str">
        <f t="shared" si="82"/>
        <v/>
      </c>
      <c r="AQ127" s="273" t="str">
        <f t="shared" si="82"/>
        <v/>
      </c>
      <c r="AR127" s="273" t="str">
        <f t="shared" si="82"/>
        <v/>
      </c>
    </row>
    <row r="128" spans="1:44" x14ac:dyDescent="0.25">
      <c r="A128" s="255">
        <v>3</v>
      </c>
      <c r="B128" s="271">
        <v>1</v>
      </c>
      <c r="C128" s="271">
        <v>1</v>
      </c>
      <c r="D128" s="270">
        <v>1</v>
      </c>
      <c r="E128" s="271">
        <v>0</v>
      </c>
      <c r="F128" s="271">
        <v>0</v>
      </c>
      <c r="G128" s="271">
        <v>0</v>
      </c>
      <c r="H128" s="271">
        <v>0</v>
      </c>
      <c r="I128" s="271">
        <v>0</v>
      </c>
      <c r="J128" s="271">
        <v>0</v>
      </c>
      <c r="K128" s="271">
        <v>0</v>
      </c>
      <c r="L128" s="255">
        <v>3</v>
      </c>
      <c r="M128" s="271">
        <v>1</v>
      </c>
      <c r="N128" s="271">
        <v>1</v>
      </c>
      <c r="O128" s="270">
        <v>1</v>
      </c>
      <c r="P128" s="271">
        <v>0</v>
      </c>
      <c r="Q128" s="271">
        <v>0</v>
      </c>
      <c r="R128" s="271">
        <v>0</v>
      </c>
      <c r="S128" s="271">
        <v>0</v>
      </c>
      <c r="T128" s="271">
        <v>0</v>
      </c>
      <c r="U128" s="271">
        <v>0</v>
      </c>
      <c r="V128" s="271">
        <v>0</v>
      </c>
      <c r="X128" s="273"/>
      <c r="Y128" s="273"/>
      <c r="Z128" s="272"/>
      <c r="AA128" s="273" t="str">
        <f t="shared" ref="AA128:AG128" si="83">IF(E128=0,"",LN(E128))</f>
        <v/>
      </c>
      <c r="AB128" s="273" t="str">
        <f t="shared" si="83"/>
        <v/>
      </c>
      <c r="AC128" s="273" t="str">
        <f t="shared" si="83"/>
        <v/>
      </c>
      <c r="AD128" s="273" t="str">
        <f t="shared" si="83"/>
        <v/>
      </c>
      <c r="AE128" s="273" t="str">
        <f t="shared" si="83"/>
        <v/>
      </c>
      <c r="AF128" s="273" t="str">
        <f t="shared" si="83"/>
        <v/>
      </c>
      <c r="AG128" s="273" t="str">
        <f t="shared" si="83"/>
        <v/>
      </c>
      <c r="AI128" s="273"/>
      <c r="AJ128" s="273"/>
      <c r="AK128" s="272"/>
      <c r="AL128" s="273" t="str">
        <f t="shared" ref="AL128:AR128" si="84">IF(P128=0,"",LN(P128))</f>
        <v/>
      </c>
      <c r="AM128" s="273" t="str">
        <f t="shared" si="84"/>
        <v/>
      </c>
      <c r="AN128" s="273" t="str">
        <f t="shared" si="84"/>
        <v/>
      </c>
      <c r="AO128" s="273" t="str">
        <f t="shared" si="84"/>
        <v/>
      </c>
      <c r="AP128" s="273" t="str">
        <f t="shared" si="84"/>
        <v/>
      </c>
      <c r="AQ128" s="273" t="str">
        <f t="shared" si="84"/>
        <v/>
      </c>
      <c r="AR128" s="273" t="str">
        <f t="shared" si="84"/>
        <v/>
      </c>
    </row>
    <row r="129" spans="1:44" x14ac:dyDescent="0.25">
      <c r="A129" s="255">
        <v>4</v>
      </c>
      <c r="B129" s="271">
        <v>0</v>
      </c>
      <c r="C129" s="271">
        <v>0</v>
      </c>
      <c r="D129" s="271">
        <v>0</v>
      </c>
      <c r="E129" s="270">
        <v>1</v>
      </c>
      <c r="F129" s="271">
        <v>0</v>
      </c>
      <c r="G129" s="271">
        <v>0</v>
      </c>
      <c r="H129" s="271">
        <v>0</v>
      </c>
      <c r="I129" s="271">
        <v>0</v>
      </c>
      <c r="J129" s="271">
        <v>0</v>
      </c>
      <c r="K129" s="271">
        <v>0</v>
      </c>
      <c r="L129" s="255">
        <v>4</v>
      </c>
      <c r="M129" s="271">
        <v>0</v>
      </c>
      <c r="N129" s="271">
        <v>0</v>
      </c>
      <c r="O129" s="271">
        <v>0</v>
      </c>
      <c r="P129" s="270">
        <v>1</v>
      </c>
      <c r="Q129" s="271">
        <v>0</v>
      </c>
      <c r="R129" s="271">
        <v>0</v>
      </c>
      <c r="S129" s="271">
        <v>0</v>
      </c>
      <c r="T129" s="271">
        <v>0</v>
      </c>
      <c r="U129" s="271">
        <v>0</v>
      </c>
      <c r="V129" s="271">
        <v>0</v>
      </c>
      <c r="X129" s="273"/>
      <c r="Y129" s="273"/>
      <c r="Z129" s="273"/>
      <c r="AA129" s="272"/>
      <c r="AB129" s="273" t="str">
        <f t="shared" ref="AB129:AG129" si="85">IF(F129=0,"",LN(F129))</f>
        <v/>
      </c>
      <c r="AC129" s="273" t="str">
        <f t="shared" si="85"/>
        <v/>
      </c>
      <c r="AD129" s="273" t="str">
        <f t="shared" si="85"/>
        <v/>
      </c>
      <c r="AE129" s="273" t="str">
        <f t="shared" si="85"/>
        <v/>
      </c>
      <c r="AF129" s="273" t="str">
        <f t="shared" si="85"/>
        <v/>
      </c>
      <c r="AG129" s="273" t="str">
        <f t="shared" si="85"/>
        <v/>
      </c>
      <c r="AI129" s="273"/>
      <c r="AJ129" s="273"/>
      <c r="AK129" s="273"/>
      <c r="AL129" s="272"/>
      <c r="AM129" s="273" t="str">
        <f t="shared" ref="AM129:AR129" si="86">IF(Q129=0,"",LN(Q129))</f>
        <v/>
      </c>
      <c r="AN129" s="273" t="str">
        <f t="shared" si="86"/>
        <v/>
      </c>
      <c r="AO129" s="273" t="str">
        <f t="shared" si="86"/>
        <v/>
      </c>
      <c r="AP129" s="273" t="str">
        <f t="shared" si="86"/>
        <v/>
      </c>
      <c r="AQ129" s="273" t="str">
        <f t="shared" si="86"/>
        <v/>
      </c>
      <c r="AR129" s="273" t="str">
        <f t="shared" si="86"/>
        <v/>
      </c>
    </row>
    <row r="130" spans="1:44" x14ac:dyDescent="0.25">
      <c r="A130" s="255">
        <v>5</v>
      </c>
      <c r="B130" s="271">
        <v>0</v>
      </c>
      <c r="C130" s="271">
        <v>0</v>
      </c>
      <c r="D130" s="271">
        <v>0</v>
      </c>
      <c r="E130" s="271">
        <v>0</v>
      </c>
      <c r="F130" s="270">
        <v>1</v>
      </c>
      <c r="G130" s="271">
        <v>0</v>
      </c>
      <c r="H130" s="271">
        <v>0</v>
      </c>
      <c r="I130" s="271">
        <v>0</v>
      </c>
      <c r="J130" s="271">
        <v>0</v>
      </c>
      <c r="K130" s="271">
        <v>0</v>
      </c>
      <c r="L130" s="255">
        <v>5</v>
      </c>
      <c r="M130" s="271">
        <v>0</v>
      </c>
      <c r="N130" s="271">
        <v>0</v>
      </c>
      <c r="O130" s="271">
        <v>0</v>
      </c>
      <c r="P130" s="271">
        <v>0</v>
      </c>
      <c r="Q130" s="270">
        <v>1</v>
      </c>
      <c r="R130" s="271">
        <v>0</v>
      </c>
      <c r="S130" s="271">
        <v>0</v>
      </c>
      <c r="T130" s="271">
        <v>0</v>
      </c>
      <c r="U130" s="271">
        <v>0</v>
      </c>
      <c r="V130" s="271">
        <v>0</v>
      </c>
      <c r="X130" s="273"/>
      <c r="Y130" s="273"/>
      <c r="Z130" s="273"/>
      <c r="AA130" s="273"/>
      <c r="AB130" s="272"/>
      <c r="AC130" s="273" t="str">
        <f>IF(G130=0,"",LN(G130))</f>
        <v/>
      </c>
      <c r="AD130" s="273" t="str">
        <f>IF(H130=0,"",LN(H130))</f>
        <v/>
      </c>
      <c r="AE130" s="273" t="str">
        <f>IF(I130=0,"",LN(I130))</f>
        <v/>
      </c>
      <c r="AF130" s="273" t="str">
        <f>IF(J130=0,"",LN(J130))</f>
        <v/>
      </c>
      <c r="AG130" s="273" t="str">
        <f>IF(K130=0,"",LN(K130))</f>
        <v/>
      </c>
      <c r="AI130" s="273"/>
      <c r="AJ130" s="273"/>
      <c r="AK130" s="273"/>
      <c r="AL130" s="273"/>
      <c r="AM130" s="272"/>
      <c r="AN130" s="273" t="str">
        <f>IF(R130=0,"",LN(R130))</f>
        <v/>
      </c>
      <c r="AO130" s="273" t="str">
        <f>IF(S130=0,"",LN(S130))</f>
        <v/>
      </c>
      <c r="AP130" s="273" t="str">
        <f>IF(T130=0,"",LN(T130))</f>
        <v/>
      </c>
      <c r="AQ130" s="273" t="str">
        <f>IF(U130=0,"",LN(U130))</f>
        <v/>
      </c>
      <c r="AR130" s="273" t="str">
        <f>IF(V130=0,"",LN(V130))</f>
        <v/>
      </c>
    </row>
    <row r="131" spans="1:44" x14ac:dyDescent="0.25">
      <c r="A131" s="255">
        <v>6</v>
      </c>
      <c r="B131" s="271">
        <v>0</v>
      </c>
      <c r="C131" s="271">
        <v>0</v>
      </c>
      <c r="D131" s="271">
        <v>0</v>
      </c>
      <c r="E131" s="271">
        <v>0</v>
      </c>
      <c r="F131" s="271">
        <v>0</v>
      </c>
      <c r="G131" s="270">
        <v>1</v>
      </c>
      <c r="H131" s="271">
        <v>0</v>
      </c>
      <c r="I131" s="271">
        <v>0</v>
      </c>
      <c r="J131" s="271">
        <v>0</v>
      </c>
      <c r="K131" s="271">
        <v>0</v>
      </c>
      <c r="L131" s="255">
        <v>6</v>
      </c>
      <c r="M131" s="271">
        <v>0</v>
      </c>
      <c r="N131" s="271">
        <v>0</v>
      </c>
      <c r="O131" s="271">
        <v>0</v>
      </c>
      <c r="P131" s="271">
        <v>0</v>
      </c>
      <c r="Q131" s="271">
        <v>0</v>
      </c>
      <c r="R131" s="270">
        <v>1</v>
      </c>
      <c r="S131" s="271">
        <v>0</v>
      </c>
      <c r="T131" s="271">
        <v>0</v>
      </c>
      <c r="U131" s="271">
        <v>0</v>
      </c>
      <c r="V131" s="271">
        <v>0</v>
      </c>
      <c r="X131" s="273"/>
      <c r="Y131" s="273"/>
      <c r="Z131" s="273"/>
      <c r="AA131" s="273"/>
      <c r="AB131" s="273"/>
      <c r="AC131" s="272"/>
      <c r="AD131" s="273" t="str">
        <f>IF(H131=0,"",LN(H131))</f>
        <v/>
      </c>
      <c r="AE131" s="273" t="str">
        <f>IF(I131=0,"",LN(I131))</f>
        <v/>
      </c>
      <c r="AF131" s="273" t="str">
        <f>IF(J131=0,"",LN(J131))</f>
        <v/>
      </c>
      <c r="AG131" s="273" t="str">
        <f>IF(K131=0,"",LN(K131))</f>
        <v/>
      </c>
      <c r="AI131" s="273"/>
      <c r="AJ131" s="273"/>
      <c r="AK131" s="273"/>
      <c r="AL131" s="273"/>
      <c r="AM131" s="273"/>
      <c r="AN131" s="272"/>
      <c r="AO131" s="273" t="str">
        <f>IF(S131=0,"",LN(S131))</f>
        <v/>
      </c>
      <c r="AP131" s="273" t="str">
        <f>IF(T131=0,"",LN(T131))</f>
        <v/>
      </c>
      <c r="AQ131" s="273" t="str">
        <f>IF(U131=0,"",LN(U131))</f>
        <v/>
      </c>
      <c r="AR131" s="273" t="str">
        <f>IF(V131=0,"",LN(V131))</f>
        <v/>
      </c>
    </row>
    <row r="132" spans="1:44" x14ac:dyDescent="0.25">
      <c r="A132" s="255">
        <v>7</v>
      </c>
      <c r="B132" s="271">
        <v>0</v>
      </c>
      <c r="C132" s="271">
        <v>0</v>
      </c>
      <c r="D132" s="271">
        <v>0</v>
      </c>
      <c r="E132" s="271">
        <v>0</v>
      </c>
      <c r="F132" s="271">
        <v>0</v>
      </c>
      <c r="G132" s="271">
        <v>0</v>
      </c>
      <c r="H132" s="270">
        <v>1</v>
      </c>
      <c r="I132" s="271">
        <v>0</v>
      </c>
      <c r="J132" s="271">
        <v>0</v>
      </c>
      <c r="K132" s="271">
        <v>0</v>
      </c>
      <c r="L132" s="255">
        <v>7</v>
      </c>
      <c r="M132" s="271">
        <v>0</v>
      </c>
      <c r="N132" s="271">
        <v>0</v>
      </c>
      <c r="O132" s="271">
        <v>0</v>
      </c>
      <c r="P132" s="271">
        <v>0</v>
      </c>
      <c r="Q132" s="271">
        <v>0</v>
      </c>
      <c r="R132" s="271">
        <v>0</v>
      </c>
      <c r="S132" s="270">
        <v>1</v>
      </c>
      <c r="T132" s="271">
        <v>0</v>
      </c>
      <c r="U132" s="271">
        <v>0</v>
      </c>
      <c r="V132" s="271">
        <v>0</v>
      </c>
      <c r="X132" s="273"/>
      <c r="Y132" s="273"/>
      <c r="Z132" s="273"/>
      <c r="AA132" s="273"/>
      <c r="AB132" s="273"/>
      <c r="AC132" s="273"/>
      <c r="AD132" s="272"/>
      <c r="AE132" s="273" t="str">
        <f>IF(I132=0,"",LN(I132))</f>
        <v/>
      </c>
      <c r="AF132" s="273" t="str">
        <f>IF(J132=0,"",LN(J132))</f>
        <v/>
      </c>
      <c r="AG132" s="273" t="str">
        <f>IF(K132=0,"",LN(K132))</f>
        <v/>
      </c>
      <c r="AI132" s="273"/>
      <c r="AJ132" s="273"/>
      <c r="AK132" s="273"/>
      <c r="AL132" s="273"/>
      <c r="AM132" s="273"/>
      <c r="AN132" s="273"/>
      <c r="AO132" s="272"/>
      <c r="AP132" s="273" t="str">
        <f>IF(T132=0,"",LN(T132))</f>
        <v/>
      </c>
      <c r="AQ132" s="273" t="str">
        <f>IF(U132=0,"",LN(U132))</f>
        <v/>
      </c>
      <c r="AR132" s="273" t="str">
        <f>IF(V132=0,"",LN(V132))</f>
        <v/>
      </c>
    </row>
    <row r="133" spans="1:44" x14ac:dyDescent="0.25">
      <c r="A133" s="255">
        <v>8</v>
      </c>
      <c r="B133" s="271">
        <v>0</v>
      </c>
      <c r="C133" s="271">
        <v>0</v>
      </c>
      <c r="D133" s="271">
        <v>0</v>
      </c>
      <c r="E133" s="271">
        <v>0</v>
      </c>
      <c r="F133" s="271">
        <v>0</v>
      </c>
      <c r="G133" s="271">
        <v>0</v>
      </c>
      <c r="H133" s="271">
        <v>0</v>
      </c>
      <c r="I133" s="270">
        <v>1</v>
      </c>
      <c r="J133" s="271">
        <v>0</v>
      </c>
      <c r="K133" s="271">
        <v>0</v>
      </c>
      <c r="L133" s="255">
        <v>8</v>
      </c>
      <c r="M133" s="271">
        <v>0</v>
      </c>
      <c r="N133" s="271">
        <v>0</v>
      </c>
      <c r="O133" s="271">
        <v>0</v>
      </c>
      <c r="P133" s="271">
        <v>0</v>
      </c>
      <c r="Q133" s="271">
        <v>0</v>
      </c>
      <c r="R133" s="271">
        <v>0</v>
      </c>
      <c r="S133" s="271">
        <v>0</v>
      </c>
      <c r="T133" s="270">
        <v>1</v>
      </c>
      <c r="U133" s="271">
        <v>0</v>
      </c>
      <c r="V133" s="271">
        <v>0</v>
      </c>
      <c r="X133" s="273"/>
      <c r="Y133" s="273"/>
      <c r="Z133" s="273"/>
      <c r="AA133" s="273"/>
      <c r="AB133" s="273"/>
      <c r="AC133" s="273"/>
      <c r="AD133" s="273"/>
      <c r="AE133" s="272"/>
      <c r="AF133" s="273" t="str">
        <f>IF(J133=0,"",LN(J133))</f>
        <v/>
      </c>
      <c r="AG133" s="273" t="str">
        <f>IF(K133=0,"",LN(K133))</f>
        <v/>
      </c>
      <c r="AI133" s="273"/>
      <c r="AJ133" s="273"/>
      <c r="AK133" s="273"/>
      <c r="AL133" s="273"/>
      <c r="AM133" s="273"/>
      <c r="AN133" s="273"/>
      <c r="AO133" s="273"/>
      <c r="AP133" s="272"/>
      <c r="AQ133" s="273" t="str">
        <f>IF(U133=0,"",LN(U133))</f>
        <v/>
      </c>
      <c r="AR133" s="273" t="str">
        <f>IF(V133=0,"",LN(V133))</f>
        <v/>
      </c>
    </row>
    <row r="134" spans="1:44" x14ac:dyDescent="0.25">
      <c r="A134" s="255">
        <v>9</v>
      </c>
      <c r="B134" s="271">
        <v>0</v>
      </c>
      <c r="C134" s="271">
        <v>0</v>
      </c>
      <c r="D134" s="271">
        <v>0</v>
      </c>
      <c r="E134" s="271">
        <v>0</v>
      </c>
      <c r="F134" s="271">
        <v>0</v>
      </c>
      <c r="G134" s="271">
        <v>0</v>
      </c>
      <c r="H134" s="271">
        <v>0</v>
      </c>
      <c r="I134" s="271">
        <v>0</v>
      </c>
      <c r="J134" s="270">
        <v>1</v>
      </c>
      <c r="K134" s="271">
        <v>0</v>
      </c>
      <c r="L134" s="255">
        <v>9</v>
      </c>
      <c r="M134" s="271">
        <v>0</v>
      </c>
      <c r="N134" s="271">
        <v>0</v>
      </c>
      <c r="O134" s="271">
        <v>0</v>
      </c>
      <c r="P134" s="271">
        <v>0</v>
      </c>
      <c r="Q134" s="271">
        <v>0</v>
      </c>
      <c r="R134" s="271">
        <v>0</v>
      </c>
      <c r="S134" s="271">
        <v>0</v>
      </c>
      <c r="T134" s="271">
        <v>0</v>
      </c>
      <c r="U134" s="270">
        <v>1</v>
      </c>
      <c r="V134" s="271">
        <v>0</v>
      </c>
      <c r="X134" s="273"/>
      <c r="Y134" s="273"/>
      <c r="Z134" s="273"/>
      <c r="AA134" s="273"/>
      <c r="AB134" s="273"/>
      <c r="AC134" s="273"/>
      <c r="AD134" s="273"/>
      <c r="AE134" s="273"/>
      <c r="AF134" s="272"/>
      <c r="AG134" s="273" t="str">
        <f>IF(K134=0,"",LN(K134))</f>
        <v/>
      </c>
      <c r="AI134" s="273"/>
      <c r="AJ134" s="273"/>
      <c r="AK134" s="273"/>
      <c r="AL134" s="273"/>
      <c r="AM134" s="273"/>
      <c r="AN134" s="273"/>
      <c r="AO134" s="273"/>
      <c r="AP134" s="273"/>
      <c r="AQ134" s="272"/>
      <c r="AR134" s="273" t="str">
        <f>IF(V134=0,"",LN(V134))</f>
        <v/>
      </c>
    </row>
    <row r="135" spans="1:44" x14ac:dyDescent="0.25">
      <c r="A135" s="255">
        <v>10</v>
      </c>
      <c r="B135" s="271">
        <v>0</v>
      </c>
      <c r="C135" s="271">
        <v>0</v>
      </c>
      <c r="D135" s="271">
        <v>0</v>
      </c>
      <c r="E135" s="271">
        <v>0</v>
      </c>
      <c r="F135" s="271">
        <v>0</v>
      </c>
      <c r="G135" s="271">
        <v>0</v>
      </c>
      <c r="H135" s="271">
        <v>0</v>
      </c>
      <c r="I135" s="271">
        <v>0</v>
      </c>
      <c r="J135" s="271">
        <v>0</v>
      </c>
      <c r="K135" s="270">
        <v>1</v>
      </c>
      <c r="L135" s="255">
        <v>10</v>
      </c>
      <c r="M135" s="271">
        <v>0</v>
      </c>
      <c r="N135" s="271">
        <v>0</v>
      </c>
      <c r="O135" s="271">
        <v>0</v>
      </c>
      <c r="P135" s="271">
        <v>0</v>
      </c>
      <c r="Q135" s="271">
        <v>0</v>
      </c>
      <c r="R135" s="271">
        <v>0</v>
      </c>
      <c r="S135" s="271">
        <v>0</v>
      </c>
      <c r="T135" s="271">
        <v>0</v>
      </c>
      <c r="U135" s="271">
        <v>0</v>
      </c>
      <c r="V135" s="270">
        <v>1</v>
      </c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2"/>
      <c r="AI135" s="273"/>
      <c r="AJ135" s="273"/>
      <c r="AK135" s="273"/>
      <c r="AL135" s="273"/>
      <c r="AM135" s="273"/>
      <c r="AN135" s="273"/>
      <c r="AO135" s="273"/>
      <c r="AP135" s="273"/>
      <c r="AQ135" s="273"/>
      <c r="AR135" s="272"/>
    </row>
    <row r="137" spans="1:44" ht="13" x14ac:dyDescent="0.3">
      <c r="A137" s="263">
        <v>20</v>
      </c>
      <c r="B137" s="336" t="str">
        <f ca="1">INDIRECT(ADDRESS(17,2,1,1,"in"&amp;TEXT(A137,"@")))</f>
        <v>Participant 20</v>
      </c>
      <c r="C137" s="336"/>
      <c r="D137" s="336"/>
      <c r="E137" s="336"/>
      <c r="F137" s="336"/>
      <c r="G137" s="336"/>
      <c r="H137" s="264">
        <f ca="1">INDIRECT(ADDRESS(17,6,1,1,"in"&amp;TEXT(A137,"@")))</f>
        <v>1</v>
      </c>
      <c r="I137" s="265"/>
      <c r="J137" s="335">
        <f ca="1">INDIRECT(ADDRESS(17,7,1,1,"in"&amp;TEXT(A137,"@")))</f>
        <v>0</v>
      </c>
      <c r="K137" s="335"/>
      <c r="X137" s="336"/>
      <c r="Y137" s="336"/>
      <c r="Z137" s="336"/>
      <c r="AA137" s="336"/>
      <c r="AB137" s="336"/>
      <c r="AC137" s="336"/>
      <c r="AD137" s="267">
        <f>IF(A137&gt;$N$4,0,IF(H137=0,1,H137))</f>
        <v>0</v>
      </c>
      <c r="AE137" s="267"/>
      <c r="AF137" s="335"/>
      <c r="AG137" s="335"/>
    </row>
    <row r="138" spans="1:44" x14ac:dyDescent="0.25">
      <c r="B138" s="268">
        <v>1</v>
      </c>
      <c r="C138" s="268">
        <v>2</v>
      </c>
      <c r="D138" s="268">
        <v>3</v>
      </c>
      <c r="E138" s="268">
        <v>4</v>
      </c>
      <c r="F138" s="268">
        <v>5</v>
      </c>
      <c r="G138" s="268">
        <v>6</v>
      </c>
      <c r="H138" s="268">
        <v>7</v>
      </c>
      <c r="I138" s="268">
        <v>8</v>
      </c>
      <c r="J138" s="255">
        <v>9</v>
      </c>
      <c r="K138" s="255">
        <v>10</v>
      </c>
      <c r="X138" s="268"/>
      <c r="Y138" s="268"/>
      <c r="Z138" s="268"/>
      <c r="AA138" s="268"/>
      <c r="AB138" s="268"/>
      <c r="AC138" s="268"/>
      <c r="AD138" s="268"/>
      <c r="AE138" s="268"/>
    </row>
    <row r="139" spans="1:44" x14ac:dyDescent="0.25">
      <c r="A139" s="255">
        <v>1</v>
      </c>
      <c r="B139" s="270">
        <f t="array" ref="B139:K148">Matrix20</f>
        <v>1</v>
      </c>
      <c r="C139" s="271">
        <v>1</v>
      </c>
      <c r="D139" s="271">
        <v>1</v>
      </c>
      <c r="E139" s="271">
        <v>0</v>
      </c>
      <c r="F139" s="271">
        <v>0</v>
      </c>
      <c r="G139" s="271">
        <v>0</v>
      </c>
      <c r="H139" s="271">
        <v>0</v>
      </c>
      <c r="I139" s="271">
        <v>0</v>
      </c>
      <c r="J139" s="271">
        <v>0</v>
      </c>
      <c r="K139" s="271">
        <v>0</v>
      </c>
      <c r="X139" s="272"/>
      <c r="Y139" s="273">
        <f t="shared" ref="Y139:AG139" si="87">IF(C139=0,"",LN(C139))</f>
        <v>0</v>
      </c>
      <c r="Z139" s="273">
        <f t="shared" si="87"/>
        <v>0</v>
      </c>
      <c r="AA139" s="273" t="str">
        <f t="shared" si="87"/>
        <v/>
      </c>
      <c r="AB139" s="273" t="str">
        <f t="shared" si="87"/>
        <v/>
      </c>
      <c r="AC139" s="273" t="str">
        <f t="shared" si="87"/>
        <v/>
      </c>
      <c r="AD139" s="273" t="str">
        <f t="shared" si="87"/>
        <v/>
      </c>
      <c r="AE139" s="273" t="str">
        <f t="shared" si="87"/>
        <v/>
      </c>
      <c r="AF139" s="273" t="str">
        <f t="shared" si="87"/>
        <v/>
      </c>
      <c r="AG139" s="273" t="str">
        <f t="shared" si="87"/>
        <v/>
      </c>
    </row>
    <row r="140" spans="1:44" x14ac:dyDescent="0.25">
      <c r="A140" s="255">
        <v>2</v>
      </c>
      <c r="B140" s="271">
        <v>1</v>
      </c>
      <c r="C140" s="270">
        <v>1</v>
      </c>
      <c r="D140" s="271">
        <v>1</v>
      </c>
      <c r="E140" s="271">
        <v>0</v>
      </c>
      <c r="F140" s="271">
        <v>0</v>
      </c>
      <c r="G140" s="271">
        <v>0</v>
      </c>
      <c r="H140" s="271">
        <v>0</v>
      </c>
      <c r="I140" s="271">
        <v>0</v>
      </c>
      <c r="J140" s="271">
        <v>0</v>
      </c>
      <c r="K140" s="271">
        <v>0</v>
      </c>
      <c r="X140" s="273"/>
      <c r="Y140" s="272"/>
      <c r="Z140" s="273">
        <f t="shared" ref="Z140:AG140" si="88">IF(D140=0,"",LN(D140))</f>
        <v>0</v>
      </c>
      <c r="AA140" s="273" t="str">
        <f t="shared" si="88"/>
        <v/>
      </c>
      <c r="AB140" s="273" t="str">
        <f t="shared" si="88"/>
        <v/>
      </c>
      <c r="AC140" s="273" t="str">
        <f t="shared" si="88"/>
        <v/>
      </c>
      <c r="AD140" s="273" t="str">
        <f t="shared" si="88"/>
        <v/>
      </c>
      <c r="AE140" s="273" t="str">
        <f t="shared" si="88"/>
        <v/>
      </c>
      <c r="AF140" s="273" t="str">
        <f t="shared" si="88"/>
        <v/>
      </c>
      <c r="AG140" s="273" t="str">
        <f t="shared" si="88"/>
        <v/>
      </c>
    </row>
    <row r="141" spans="1:44" x14ac:dyDescent="0.25">
      <c r="A141" s="255">
        <v>3</v>
      </c>
      <c r="B141" s="271">
        <v>1</v>
      </c>
      <c r="C141" s="271">
        <v>1</v>
      </c>
      <c r="D141" s="270">
        <v>1</v>
      </c>
      <c r="E141" s="271">
        <v>0</v>
      </c>
      <c r="F141" s="271">
        <v>0</v>
      </c>
      <c r="G141" s="271">
        <v>0</v>
      </c>
      <c r="H141" s="271">
        <v>0</v>
      </c>
      <c r="I141" s="271">
        <v>0</v>
      </c>
      <c r="J141" s="271">
        <v>0</v>
      </c>
      <c r="K141" s="271">
        <v>0</v>
      </c>
      <c r="X141" s="273"/>
      <c r="Y141" s="273"/>
      <c r="Z141" s="272"/>
      <c r="AA141" s="273" t="str">
        <f t="shared" ref="AA141:AG141" si="89">IF(E141=0,"",LN(E141))</f>
        <v/>
      </c>
      <c r="AB141" s="273" t="str">
        <f t="shared" si="89"/>
        <v/>
      </c>
      <c r="AC141" s="273" t="str">
        <f t="shared" si="89"/>
        <v/>
      </c>
      <c r="AD141" s="273" t="str">
        <f t="shared" si="89"/>
        <v/>
      </c>
      <c r="AE141" s="273" t="str">
        <f t="shared" si="89"/>
        <v/>
      </c>
      <c r="AF141" s="273" t="str">
        <f t="shared" si="89"/>
        <v/>
      </c>
      <c r="AG141" s="273" t="str">
        <f t="shared" si="89"/>
        <v/>
      </c>
    </row>
    <row r="142" spans="1:44" x14ac:dyDescent="0.25">
      <c r="A142" s="255">
        <v>4</v>
      </c>
      <c r="B142" s="271">
        <v>0</v>
      </c>
      <c r="C142" s="271">
        <v>0</v>
      </c>
      <c r="D142" s="271">
        <v>0</v>
      </c>
      <c r="E142" s="270">
        <v>1</v>
      </c>
      <c r="F142" s="271">
        <v>0</v>
      </c>
      <c r="G142" s="271">
        <v>0</v>
      </c>
      <c r="H142" s="271">
        <v>0</v>
      </c>
      <c r="I142" s="271">
        <v>0</v>
      </c>
      <c r="J142" s="271">
        <v>0</v>
      </c>
      <c r="K142" s="271">
        <v>0</v>
      </c>
      <c r="X142" s="273"/>
      <c r="Y142" s="273"/>
      <c r="Z142" s="273"/>
      <c r="AA142" s="272"/>
      <c r="AB142" s="273" t="str">
        <f t="shared" ref="AB142:AG142" si="90">IF(F142=0,"",LN(F142))</f>
        <v/>
      </c>
      <c r="AC142" s="273" t="str">
        <f t="shared" si="90"/>
        <v/>
      </c>
      <c r="AD142" s="273" t="str">
        <f t="shared" si="90"/>
        <v/>
      </c>
      <c r="AE142" s="273" t="str">
        <f t="shared" si="90"/>
        <v/>
      </c>
      <c r="AF142" s="273" t="str">
        <f t="shared" si="90"/>
        <v/>
      </c>
      <c r="AG142" s="273" t="str">
        <f t="shared" si="90"/>
        <v/>
      </c>
    </row>
    <row r="143" spans="1:44" x14ac:dyDescent="0.25">
      <c r="A143" s="255">
        <v>5</v>
      </c>
      <c r="B143" s="271">
        <v>0</v>
      </c>
      <c r="C143" s="271">
        <v>0</v>
      </c>
      <c r="D143" s="271">
        <v>0</v>
      </c>
      <c r="E143" s="271">
        <v>0</v>
      </c>
      <c r="F143" s="270">
        <v>1</v>
      </c>
      <c r="G143" s="271">
        <v>0</v>
      </c>
      <c r="H143" s="271">
        <v>0</v>
      </c>
      <c r="I143" s="271">
        <v>0</v>
      </c>
      <c r="J143" s="271">
        <v>0</v>
      </c>
      <c r="K143" s="271">
        <v>0</v>
      </c>
      <c r="X143" s="273"/>
      <c r="Y143" s="273"/>
      <c r="Z143" s="273"/>
      <c r="AA143" s="273"/>
      <c r="AB143" s="272"/>
      <c r="AC143" s="273" t="str">
        <f>IF(G143=0,"",LN(G143))</f>
        <v/>
      </c>
      <c r="AD143" s="273" t="str">
        <f>IF(H143=0,"",LN(H143))</f>
        <v/>
      </c>
      <c r="AE143" s="273" t="str">
        <f>IF(I143=0,"",LN(I143))</f>
        <v/>
      </c>
      <c r="AF143" s="273" t="str">
        <f>IF(J143=0,"",LN(J143))</f>
        <v/>
      </c>
      <c r="AG143" s="273" t="str">
        <f>IF(K143=0,"",LN(K143))</f>
        <v/>
      </c>
    </row>
    <row r="144" spans="1:44" x14ac:dyDescent="0.25">
      <c r="A144" s="255">
        <v>6</v>
      </c>
      <c r="B144" s="271">
        <v>0</v>
      </c>
      <c r="C144" s="271">
        <v>0</v>
      </c>
      <c r="D144" s="271">
        <v>0</v>
      </c>
      <c r="E144" s="271">
        <v>0</v>
      </c>
      <c r="F144" s="271">
        <v>0</v>
      </c>
      <c r="G144" s="270">
        <v>1</v>
      </c>
      <c r="H144" s="271">
        <v>0</v>
      </c>
      <c r="I144" s="271">
        <v>0</v>
      </c>
      <c r="J144" s="271">
        <v>0</v>
      </c>
      <c r="K144" s="271">
        <v>0</v>
      </c>
      <c r="X144" s="273"/>
      <c r="Y144" s="273"/>
      <c r="Z144" s="273"/>
      <c r="AA144" s="273"/>
      <c r="AB144" s="273"/>
      <c r="AC144" s="272"/>
      <c r="AD144" s="273" t="str">
        <f>IF(H144=0,"",LN(H144))</f>
        <v/>
      </c>
      <c r="AE144" s="273" t="str">
        <f>IF(I144=0,"",LN(I144))</f>
        <v/>
      </c>
      <c r="AF144" s="273" t="str">
        <f>IF(J144=0,"",LN(J144))</f>
        <v/>
      </c>
      <c r="AG144" s="273" t="str">
        <f>IF(K144=0,"",LN(K144))</f>
        <v/>
      </c>
    </row>
    <row r="145" spans="1:33" x14ac:dyDescent="0.25">
      <c r="A145" s="255">
        <v>7</v>
      </c>
      <c r="B145" s="271">
        <v>0</v>
      </c>
      <c r="C145" s="271">
        <v>0</v>
      </c>
      <c r="D145" s="271">
        <v>0</v>
      </c>
      <c r="E145" s="271">
        <v>0</v>
      </c>
      <c r="F145" s="271">
        <v>0</v>
      </c>
      <c r="G145" s="271">
        <v>0</v>
      </c>
      <c r="H145" s="270">
        <v>1</v>
      </c>
      <c r="I145" s="271">
        <v>0</v>
      </c>
      <c r="J145" s="271">
        <v>0</v>
      </c>
      <c r="K145" s="271">
        <v>0</v>
      </c>
      <c r="X145" s="273"/>
      <c r="Y145" s="273"/>
      <c r="Z145" s="273"/>
      <c r="AA145" s="273"/>
      <c r="AB145" s="273"/>
      <c r="AC145" s="273"/>
      <c r="AD145" s="272"/>
      <c r="AE145" s="273" t="str">
        <f>IF(I145=0,"",LN(I145))</f>
        <v/>
      </c>
      <c r="AF145" s="273" t="str">
        <f>IF(J145=0,"",LN(J145))</f>
        <v/>
      </c>
      <c r="AG145" s="273" t="str">
        <f>IF(K145=0,"",LN(K145))</f>
        <v/>
      </c>
    </row>
    <row r="146" spans="1:33" x14ac:dyDescent="0.25">
      <c r="A146" s="255">
        <v>8</v>
      </c>
      <c r="B146" s="271">
        <v>0</v>
      </c>
      <c r="C146" s="271">
        <v>0</v>
      </c>
      <c r="D146" s="271">
        <v>0</v>
      </c>
      <c r="E146" s="271">
        <v>0</v>
      </c>
      <c r="F146" s="271">
        <v>0</v>
      </c>
      <c r="G146" s="271">
        <v>0</v>
      </c>
      <c r="H146" s="271">
        <v>0</v>
      </c>
      <c r="I146" s="270">
        <v>1</v>
      </c>
      <c r="J146" s="271">
        <v>0</v>
      </c>
      <c r="K146" s="271">
        <v>0</v>
      </c>
      <c r="X146" s="273"/>
      <c r="Y146" s="273"/>
      <c r="Z146" s="273"/>
      <c r="AA146" s="273"/>
      <c r="AB146" s="273"/>
      <c r="AC146" s="273"/>
      <c r="AD146" s="273"/>
      <c r="AE146" s="272"/>
      <c r="AF146" s="273" t="str">
        <f>IF(J146=0,"",LN(J146))</f>
        <v/>
      </c>
      <c r="AG146" s="273" t="str">
        <f>IF(K146=0,"",LN(K146))</f>
        <v/>
      </c>
    </row>
    <row r="147" spans="1:33" x14ac:dyDescent="0.25">
      <c r="A147" s="255">
        <v>9</v>
      </c>
      <c r="B147" s="271">
        <v>0</v>
      </c>
      <c r="C147" s="271">
        <v>0</v>
      </c>
      <c r="D147" s="271">
        <v>0</v>
      </c>
      <c r="E147" s="271">
        <v>0</v>
      </c>
      <c r="F147" s="271">
        <v>0</v>
      </c>
      <c r="G147" s="271">
        <v>0</v>
      </c>
      <c r="H147" s="271">
        <v>0</v>
      </c>
      <c r="I147" s="271">
        <v>0</v>
      </c>
      <c r="J147" s="270">
        <v>1</v>
      </c>
      <c r="K147" s="271">
        <v>0</v>
      </c>
      <c r="X147" s="273"/>
      <c r="Y147" s="273"/>
      <c r="Z147" s="273"/>
      <c r="AA147" s="273"/>
      <c r="AB147" s="273"/>
      <c r="AC147" s="273"/>
      <c r="AD147" s="273"/>
      <c r="AE147" s="273"/>
      <c r="AF147" s="272"/>
      <c r="AG147" s="273" t="str">
        <f>IF(K147=0,"",LN(K147))</f>
        <v/>
      </c>
    </row>
    <row r="148" spans="1:33" x14ac:dyDescent="0.25">
      <c r="A148" s="255">
        <v>10</v>
      </c>
      <c r="B148" s="271">
        <v>0</v>
      </c>
      <c r="C148" s="271">
        <v>0</v>
      </c>
      <c r="D148" s="271">
        <v>0</v>
      </c>
      <c r="E148" s="271">
        <v>0</v>
      </c>
      <c r="F148" s="271">
        <v>0</v>
      </c>
      <c r="G148" s="271">
        <v>0</v>
      </c>
      <c r="H148" s="271">
        <v>0</v>
      </c>
      <c r="I148" s="271">
        <v>0</v>
      </c>
      <c r="J148" s="271">
        <v>0</v>
      </c>
      <c r="K148" s="270">
        <v>1</v>
      </c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2"/>
    </row>
  </sheetData>
  <mergeCells count="81">
    <mergeCell ref="B7:I7"/>
    <mergeCell ref="M7:R7"/>
    <mergeCell ref="U7:V7"/>
    <mergeCell ref="AI7:AN7"/>
    <mergeCell ref="AQ7:AR7"/>
    <mergeCell ref="AF20:AG20"/>
    <mergeCell ref="AI20:AN20"/>
    <mergeCell ref="AQ20:AR20"/>
    <mergeCell ref="B33:G33"/>
    <mergeCell ref="J33:K33"/>
    <mergeCell ref="M33:R33"/>
    <mergeCell ref="U33:V33"/>
    <mergeCell ref="X33:AC33"/>
    <mergeCell ref="AF33:AG33"/>
    <mergeCell ref="AI33:AN33"/>
    <mergeCell ref="AQ33:AR33"/>
    <mergeCell ref="B20:G20"/>
    <mergeCell ref="J20:K20"/>
    <mergeCell ref="M20:R20"/>
    <mergeCell ref="U20:V20"/>
    <mergeCell ref="X20:AC20"/>
    <mergeCell ref="AF46:AG46"/>
    <mergeCell ref="AI46:AN46"/>
    <mergeCell ref="AQ46:AR46"/>
    <mergeCell ref="B59:G59"/>
    <mergeCell ref="J59:K59"/>
    <mergeCell ref="M59:R59"/>
    <mergeCell ref="U59:V59"/>
    <mergeCell ref="X59:AC59"/>
    <mergeCell ref="AF59:AG59"/>
    <mergeCell ref="AI59:AN59"/>
    <mergeCell ref="AQ59:AR59"/>
    <mergeCell ref="B46:G46"/>
    <mergeCell ref="J46:K46"/>
    <mergeCell ref="M46:R46"/>
    <mergeCell ref="U46:V46"/>
    <mergeCell ref="X46:AC46"/>
    <mergeCell ref="AF72:AG72"/>
    <mergeCell ref="AI72:AN72"/>
    <mergeCell ref="AQ72:AR72"/>
    <mergeCell ref="B85:G85"/>
    <mergeCell ref="J85:K85"/>
    <mergeCell ref="M85:R85"/>
    <mergeCell ref="U85:V85"/>
    <mergeCell ref="X85:AC85"/>
    <mergeCell ref="AF85:AG85"/>
    <mergeCell ref="AI85:AN85"/>
    <mergeCell ref="AQ85:AR85"/>
    <mergeCell ref="B72:G72"/>
    <mergeCell ref="J72:K72"/>
    <mergeCell ref="M72:R72"/>
    <mergeCell ref="U72:V72"/>
    <mergeCell ref="X72:AC72"/>
    <mergeCell ref="AF98:AG98"/>
    <mergeCell ref="AI98:AN98"/>
    <mergeCell ref="AQ98:AR98"/>
    <mergeCell ref="B111:G111"/>
    <mergeCell ref="J111:K111"/>
    <mergeCell ref="M111:R111"/>
    <mergeCell ref="U111:V111"/>
    <mergeCell ref="X111:AC111"/>
    <mergeCell ref="AF111:AG111"/>
    <mergeCell ref="AI111:AN111"/>
    <mergeCell ref="AQ111:AR111"/>
    <mergeCell ref="B98:G98"/>
    <mergeCell ref="J98:K98"/>
    <mergeCell ref="M98:R98"/>
    <mergeCell ref="U98:V98"/>
    <mergeCell ref="X98:AC98"/>
    <mergeCell ref="AF124:AG124"/>
    <mergeCell ref="AI124:AN124"/>
    <mergeCell ref="AQ124:AR124"/>
    <mergeCell ref="B137:G137"/>
    <mergeCell ref="J137:K137"/>
    <mergeCell ref="X137:AC137"/>
    <mergeCell ref="AF137:AG137"/>
    <mergeCell ref="B124:G124"/>
    <mergeCell ref="J124:K124"/>
    <mergeCell ref="M124:R124"/>
    <mergeCell ref="U124:V124"/>
    <mergeCell ref="X124:AC124"/>
  </mergeCells>
  <conditionalFormatting sqref="C9:K9 N9:T9 U9:V16 D10:K10 M10 O10:T10 B10:B18 E11:K11 M11:N11 P11:T11 C11:C18 F12:K12 M12:O12 Q12:T12 D12:D18 G13:K13 M13:P13 R13:T13 E13:E18 H14:K14 M14:Q14 S14:T14 F14:F18 I15:K15 M15:R15 T15 G15:G18 J16:K16 M16:S16 H16:H18 K17 V17 I17:I18 M17:T18 J18 U18 C22:K22 J22:K29 B23 D23:K23 B24:C24 E24:K24 B25:D25 F25:K25 D25:D29 B26:E26 G26:K26 E26:E29 B27:F27 H27:K27 F27:F29 B28:G28 I28:K28 G28:G29 B29:H29 K30 B30:I31 J31">
    <cfRule type="cellIs" dxfId="18" priority="2" operator="notEqual">
      <formula>0</formula>
    </cfRule>
  </conditionalFormatting>
  <conditionalFormatting sqref="C35:K35 B36 D36:K36 B37:C37 E37:K37 B38:D38 F38:K38 B39:E39 G39:K39 B40:F40 H40:K40 B41:G41 I41:K41 B42:H42 J42:K42 K43 B43:I44 J44">
    <cfRule type="cellIs" dxfId="17" priority="4" operator="notEqual">
      <formula>0</formula>
    </cfRule>
  </conditionalFormatting>
  <conditionalFormatting sqref="C48:K48 B49 D49:K49 B50:C50 E50:K50 B51:D51 F51:K51 B52:E52 G52:K52 B53:F53 H53:K53 B54:G54 I54:K54 B55:H55 J55:K55 K56 B56:I57 J57">
    <cfRule type="cellIs" dxfId="16" priority="6" operator="notEqual">
      <formula>0</formula>
    </cfRule>
  </conditionalFormatting>
  <conditionalFormatting sqref="C61:K61 B62 D62:K62 B63:C63 E63:K63 B64:D64 F64:K64 B65:E65 G65:K65 B66:F66 H66:K66 B67:G67 I67:K67 B68:H68 J68:K68 K69 B69:I70 J70">
    <cfRule type="cellIs" dxfId="15" priority="8" operator="notEqual">
      <formula>0</formula>
    </cfRule>
  </conditionalFormatting>
  <conditionalFormatting sqref="C74:K74 B75 D75:K75 B76:C76 E76:K76 B77:D77 F77:K77 B78:E78 G78:K78 B79:F79 H79:K79 B80:G80 I80:K80 B81:H81 J81:K81 K82 B82:I83 J83">
    <cfRule type="cellIs" dxfId="14" priority="10" operator="notEqual">
      <formula>0</formula>
    </cfRule>
  </conditionalFormatting>
  <conditionalFormatting sqref="C87:K87 B88 D88:K88 B89:C89 E89:K89 B90:D90 F90:K90 B91:E91 G91:K91 B92:F92 H92:K92 B93:G93 I93:K93 B94:H94 J94:K94 K95 B95:I96 J96">
    <cfRule type="cellIs" dxfId="13" priority="12" operator="notEqual">
      <formula>0</formula>
    </cfRule>
  </conditionalFormatting>
  <conditionalFormatting sqref="C100:K100 B101 D101:K101 B102:C102 E102:K102 B103:D103 F103:K103 B104:E104 G104:K104 B105:F105 H105:K105 B106:G106 I106:K106 B107:H107 J107:K107 K108 B108:I109 J109">
    <cfRule type="cellIs" dxfId="12" priority="14" operator="notEqual">
      <formula>0</formula>
    </cfRule>
  </conditionalFormatting>
  <conditionalFormatting sqref="C113:K113 B114 D114:K114 B115:C115 E115:K115 B116:D116 F116:K116 B117:E117 G117:K117 B118:F118 H118:K118 B119:G119 I119:K119 B120:H120 J120:K120 K121 B121:I122 J122">
    <cfRule type="cellIs" dxfId="11" priority="16" operator="notEqual">
      <formula>0</formula>
    </cfRule>
  </conditionalFormatting>
  <conditionalFormatting sqref="C126:K126 B127 D127:K127 B128:C128 E128:K128 B129:D129 F129:K129 B130:E130 G130:K130 B131:F131 H131:K131 B132:G132 I132:K132 B133:H133 J133:K133 K134 B134:I135 J135">
    <cfRule type="cellIs" dxfId="10" priority="18" operator="notEqual">
      <formula>0</formula>
    </cfRule>
  </conditionalFormatting>
  <conditionalFormatting sqref="C139:K139 B140 D140:K140 B141:C141 E141:K141 B142:D142 F142:K142 B143:E143 G143:K143 B144:F144 H144:K144 B145:G145 I145:K145 B146:H146 J146:K146 K147 B147:I148 J148">
    <cfRule type="cellIs" dxfId="9" priority="20" operator="notEqual">
      <formula>0</formula>
    </cfRule>
  </conditionalFormatting>
  <conditionalFormatting sqref="N22:V22 M23 O23:V23 M24:N24 P24:V24 M25:O25 Q25:V25 M26:P26 R26:V26 M27:Q27 S27:V27 M28:R28 T28:V28 M29:S29 U29:V29 V30 M30:T31 U31">
    <cfRule type="cellIs" dxfId="8" priority="3" operator="notEqual">
      <formula>0</formula>
    </cfRule>
  </conditionalFormatting>
  <conditionalFormatting sqref="N35:V35 M36 O36:V36 M37:N37 P37:V37 M38:O38 Q38:V38 M39:P39 R39:V39 M40:Q40 S40:V40 M41:R41 T41:V41 M42:S42 U42:V42 V43 M43:T44 U44">
    <cfRule type="cellIs" dxfId="7" priority="5" operator="notEqual">
      <formula>0</formula>
    </cfRule>
  </conditionalFormatting>
  <conditionalFormatting sqref="N48:V48 M49 O49:V49 M50:N50 P50:V50 M51:O51 Q51:V51 M52:P52 R52:V52 M53:Q53 S53:V53 M54:R54 T54:V54 M55:S55 U55:V55 V56 M56:T57 U57">
    <cfRule type="cellIs" dxfId="6" priority="7" operator="notEqual">
      <formula>0</formula>
    </cfRule>
  </conditionalFormatting>
  <conditionalFormatting sqref="N61:V61 M62 O62:V62 M63:N63 P63:V63 M64:O64 Q64:V64 M65:P65 R65:V65 M66:Q66 S66:V66 M67:R67 T67:V67 M68:S68 U68:V68 V69 M69:T70 U70">
    <cfRule type="cellIs" dxfId="5" priority="9" operator="notEqual">
      <formula>0</formula>
    </cfRule>
  </conditionalFormatting>
  <conditionalFormatting sqref="N74:V74 M75 O75:V75 M76:N76 P76:V76 M77:O77 Q77:V77 M78:P78 R78:V78 M79:Q79 S79:V79 M80:R80 T80:V80 M81:S81 U81:V81 V82 M82:T83 U83">
    <cfRule type="cellIs" dxfId="4" priority="11" operator="notEqual">
      <formula>0</formula>
    </cfRule>
  </conditionalFormatting>
  <conditionalFormatting sqref="N87:V87 M88 O88:V88 M89:N89 P89:V89 M90:O90 Q90:V90 M91:P91 R91:V91 M92:Q92 S92:V92 M93:R93 T93:V93 M94:S94 U94:V94 V95 M95:T96 U96">
    <cfRule type="cellIs" dxfId="3" priority="13" operator="notEqual">
      <formula>0</formula>
    </cfRule>
  </conditionalFormatting>
  <conditionalFormatting sqref="N100:V100 M101 O101:V101 M102:N102 P102:V102 M103:O103 Q103:V103 M104:P104 R104:V104 M105:Q105 S105:V105 M106:R106 T106:V106 M107:S107 U107:V107 V108 M108:T109 U109">
    <cfRule type="cellIs" dxfId="2" priority="15" operator="notEqual">
      <formula>0</formula>
    </cfRule>
  </conditionalFormatting>
  <conditionalFormatting sqref="N113:V113 M114 O114:V114 M115:N115 P115:V115 M116:O116 Q116:V116 M117:P117 R117:V117 M118:Q118 S118:V118 M119:R119 T119:V119 M120:S120 U120:V120 V121 M121:T122 U122">
    <cfRule type="cellIs" dxfId="1" priority="17" operator="notEqual">
      <formula>0</formula>
    </cfRule>
  </conditionalFormatting>
  <conditionalFormatting sqref="N126:V126 M127 O127:V127 M128:N128 P128:V128 M129:O129 Q129:V129 M130:P130 R130:V130 M131:Q131 S131:V131 M132:R132 T132:V132 M133:S133 U133:V133 V134 M134:T135 U135">
    <cfRule type="cellIs" dxfId="0" priority="19" operator="notEqual">
      <formula>0</formula>
    </cfRule>
  </conditionalFormatting>
  <pageMargins left="0.74791666666666701" right="0.59027777777777801" top="0.78749999999999998" bottom="0.78749999999999998" header="0.51180555555555496" footer="0.51180555555555496"/>
  <pageSetup paperSize="9" firstPageNumber="0" orientation="portrait" horizontalDpi="300" verticalDpi="300"/>
  <headerFooter>
    <oddHeader>&amp;Lhttp://bpmsg.com&amp;CAHP
Multiple Input Sheet&amp;R&amp;D</oddHeader>
    <oddFooter>&amp;C&amp;P of &amp;N&amp;R&amp;F-&amp;A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MJ71"/>
  <sheetViews>
    <sheetView zoomScale="110" zoomScaleNormal="110" workbookViewId="0"/>
  </sheetViews>
  <sheetFormatPr defaultColWidth="8.90625" defaultRowHeight="13" outlineLevelRow="1" outlineLevelCol="1" x14ac:dyDescent="0.3"/>
  <cols>
    <col min="1" max="1" width="8.81640625" style="275"/>
    <col min="2" max="11" width="6.7265625" style="275" customWidth="1"/>
    <col min="12" max="12" width="7.90625" style="275" customWidth="1"/>
    <col min="13" max="13" width="8.36328125" style="275" customWidth="1"/>
    <col min="14" max="32" width="8.81640625" style="275" hidden="1" outlineLevel="1"/>
    <col min="33" max="1024" width="8.81640625" style="275"/>
  </cols>
  <sheetData>
    <row r="1" spans="1:33" s="278" customFormat="1" ht="18" x14ac:dyDescent="0.4">
      <c r="A1" s="276" t="s">
        <v>122</v>
      </c>
      <c r="B1" s="277" t="s">
        <v>133</v>
      </c>
      <c r="C1" s="276"/>
      <c r="M1" s="279">
        <f>Summary!B5</f>
        <v>3</v>
      </c>
    </row>
    <row r="2" spans="1:33" x14ac:dyDescent="0.3">
      <c r="A2" s="280"/>
      <c r="B2" s="275" t="s">
        <v>134</v>
      </c>
    </row>
    <row r="3" spans="1:33" x14ac:dyDescent="0.3">
      <c r="M3" s="281" t="s">
        <v>135</v>
      </c>
    </row>
    <row r="4" spans="1:33" x14ac:dyDescent="0.3">
      <c r="B4" s="282">
        <v>1</v>
      </c>
      <c r="C4" s="282">
        <v>2</v>
      </c>
      <c r="D4" s="282">
        <v>3</v>
      </c>
      <c r="E4" s="282">
        <v>4</v>
      </c>
      <c r="F4" s="282">
        <v>5</v>
      </c>
      <c r="G4" s="282">
        <v>6</v>
      </c>
      <c r="H4" s="282">
        <v>7</v>
      </c>
      <c r="I4" s="282">
        <v>8</v>
      </c>
      <c r="J4" s="282">
        <v>9</v>
      </c>
      <c r="K4" s="282">
        <v>10</v>
      </c>
      <c r="M4" s="275">
        <v>0</v>
      </c>
      <c r="N4" s="275">
        <v>1</v>
      </c>
      <c r="O4" s="275">
        <v>2</v>
      </c>
      <c r="P4" s="275">
        <v>3</v>
      </c>
      <c r="Q4" s="275">
        <v>4</v>
      </c>
      <c r="R4" s="275">
        <v>5</v>
      </c>
      <c r="S4" s="275">
        <v>6</v>
      </c>
      <c r="T4" s="275">
        <v>7</v>
      </c>
      <c r="U4" s="275">
        <v>8</v>
      </c>
      <c r="V4" s="275">
        <v>9</v>
      </c>
      <c r="W4" s="275">
        <v>10</v>
      </c>
      <c r="X4" s="275">
        <v>11</v>
      </c>
      <c r="Y4" s="275">
        <v>12</v>
      </c>
      <c r="Z4" s="275">
        <v>13</v>
      </c>
      <c r="AA4" s="275">
        <v>14</v>
      </c>
      <c r="AB4" s="275">
        <v>15</v>
      </c>
      <c r="AC4" s="275">
        <v>16</v>
      </c>
      <c r="AD4" s="275">
        <v>17</v>
      </c>
      <c r="AE4" s="275">
        <v>18</v>
      </c>
      <c r="AF4" s="275">
        <v>19</v>
      </c>
      <c r="AG4" s="275">
        <v>20</v>
      </c>
    </row>
    <row r="5" spans="1:33" x14ac:dyDescent="0.3">
      <c r="A5" s="282">
        <v>1</v>
      </c>
      <c r="B5" s="283">
        <v>1</v>
      </c>
      <c r="C5" s="284">
        <f ca="1">IF(ISNA(Summary!D38),0,Summary!D38)</f>
        <v>1.7826024579660034</v>
      </c>
      <c r="D5" s="284">
        <f ca="1">IF(ISNA(Summary!E38),0,Summary!E38)</f>
        <v>0.83255320740187311</v>
      </c>
      <c r="E5" s="284">
        <f>IF(ISNA(Summary!F38),0,Summary!F38)</f>
        <v>0</v>
      </c>
      <c r="F5" s="284">
        <f>IF(ISNA(Summary!G38),0,Summary!G38)</f>
        <v>0</v>
      </c>
      <c r="G5" s="284">
        <f>IF(ISNA(Summary!H38),0,Summary!H38)</f>
        <v>0</v>
      </c>
      <c r="H5" s="284">
        <f>IF(ISNA(Summary!I38),0,Summary!I38)</f>
        <v>0</v>
      </c>
      <c r="I5" s="284">
        <f>IF(ISNA(Summary!J38),0,Summary!J38)</f>
        <v>0</v>
      </c>
      <c r="J5" s="284">
        <f>IF(ISNA(Summary!K38),0,Summary!K38)</f>
        <v>0</v>
      </c>
      <c r="K5" s="284">
        <f>IF(ISNA(Summary!L38),0,Summary!L38)</f>
        <v>0</v>
      </c>
      <c r="M5" s="285">
        <f t="shared" ref="M5:M14" ca="1" si="0">SUM(B5:K5)/10</f>
        <v>0.36151556653678768</v>
      </c>
      <c r="N5" s="284">
        <f t="array" aca="1" ref="N5:N14" ca="1">MMULT($B5:$K14,M5:M14)</f>
        <v>1.0683293959770714</v>
      </c>
      <c r="O5" s="284">
        <f t="array" aca="1" ref="O5:O14" ca="1">MMULT($B5:$K14,N16:N25)</f>
        <v>2.7329366667345765</v>
      </c>
      <c r="P5" s="284">
        <f t="array" aca="1" ref="P5:P14" ca="1">MMULT($B5:$K14,O16:O25)</f>
        <v>2.7346918887044724</v>
      </c>
      <c r="Q5" s="284">
        <f t="array" aca="1" ref="Q5:Q14" ca="1">MMULT($B5:$K14,P16:P25)</f>
        <v>2.7348035111852504</v>
      </c>
      <c r="R5" s="284">
        <f t="array" aca="1" ref="R5:R14" ca="1">MMULT($B5:$K14,Q16:Q25)</f>
        <v>2.7347986857161555</v>
      </c>
      <c r="S5" s="284">
        <f t="array" aca="1" ref="S5:S14" ca="1">MMULT($B5:$K14,R16:R25)</f>
        <v>2.7347984098286329</v>
      </c>
      <c r="T5" s="284">
        <f t="array" aca="1" ref="T5:T14" ca="1">MMULT($B5:$K14,S16:S25)</f>
        <v>2.7347984230063851</v>
      </c>
      <c r="U5" s="284">
        <f t="array" aca="1" ref="U5:U14" ca="1">MMULT($B5:$K14,T16:T25)</f>
        <v>2.7347984236850138</v>
      </c>
      <c r="V5" s="284">
        <f t="array" aca="1" ref="V5:V14" ca="1">MMULT($B5:$K14,U16:U25)</f>
        <v>2.7347984236492202</v>
      </c>
      <c r="W5" s="284">
        <f t="array" aca="1" ref="W5:W14" ca="1">MMULT($B5:$K14,V16:V25)</f>
        <v>2.7347984236475598</v>
      </c>
      <c r="X5" s="284">
        <f t="array" aca="1" ref="X5:X14" ca="1">MMULT($B5:$K14,W16:W25)</f>
        <v>2.7347984236476561</v>
      </c>
      <c r="Y5" s="284">
        <f t="array" aca="1" ref="Y5:Y14" ca="1">MMULT($B5:$K14,X16:X25)</f>
        <v>2.7347984236476606</v>
      </c>
      <c r="Z5" s="284">
        <f t="array" aca="1" ref="Z5:Z14" ca="1">MMULT($B5:$K14,Y16:Y25)</f>
        <v>2.7347984236476601</v>
      </c>
      <c r="AA5" s="284">
        <f t="array" aca="1" ref="AA5:AA14" ca="1">MMULT($B5:$K14,Z16:Z25)</f>
        <v>2.7347984236476597</v>
      </c>
      <c r="AB5" s="284">
        <f t="array" aca="1" ref="AB5:AB14" ca="1">MMULT($B5:$K14,AA16:AA25)</f>
        <v>2.7347984236476597</v>
      </c>
      <c r="AC5" s="284">
        <f t="array" aca="1" ref="AC5:AC14" ca="1">MMULT($B5:$K14,AB16:AB25)</f>
        <v>2.7347984236476597</v>
      </c>
      <c r="AD5" s="284">
        <f t="array" aca="1" ref="AD5:AD14" ca="1">MMULT($B5:$K14,AC16:AC25)</f>
        <v>2.7347984236476597</v>
      </c>
      <c r="AE5" s="284">
        <f t="array" aca="1" ref="AE5:AE14" ca="1">MMULT($B5:$K14,AD16:AD25)</f>
        <v>2.7347984236476597</v>
      </c>
      <c r="AF5" s="284">
        <f t="array" aca="1" ref="AF5:AF14" ca="1">MMULT($B5:$K14,AE16:AE25)</f>
        <v>2.7347984236476597</v>
      </c>
      <c r="AG5" s="284">
        <f t="array" aca="1" ref="AG5:AG14" ca="1">MMULT($B5:$K14,AF16:AF25)</f>
        <v>2.7347984236476597</v>
      </c>
    </row>
    <row r="6" spans="1:33" x14ac:dyDescent="0.3">
      <c r="A6" s="282">
        <v>2</v>
      </c>
      <c r="B6" s="284">
        <f ca="1">IF(ISNA(Summary!C39),0,Summary!C39)</f>
        <v>0.56097757272309978</v>
      </c>
      <c r="C6" s="283">
        <v>1</v>
      </c>
      <c r="D6" s="284">
        <f ca="1">IF(ISNA(Summary!E39),0,Summary!E39)</f>
        <v>0.60836434189320576</v>
      </c>
      <c r="E6" s="284">
        <f>IF(ISNA(Summary!F39),0,Summary!F39)</f>
        <v>0</v>
      </c>
      <c r="F6" s="284">
        <f>IF(ISNA(Summary!G39),0,Summary!G39)</f>
        <v>0</v>
      </c>
      <c r="G6" s="284">
        <f>IF(ISNA(Summary!H39),0,Summary!H39)</f>
        <v>0</v>
      </c>
      <c r="H6" s="284">
        <f>IF(ISNA(Summary!I39),0,Summary!I39)</f>
        <v>0</v>
      </c>
      <c r="I6" s="284">
        <f>IF(ISNA(Summary!J39),0,Summary!J39)</f>
        <v>0</v>
      </c>
      <c r="J6" s="284">
        <f>IF(ISNA(Summary!K39),0,Summary!K39)</f>
        <v>0</v>
      </c>
      <c r="K6" s="284">
        <f>IF(ISNA(Summary!L39),0,Summary!L39)</f>
        <v>0</v>
      </c>
      <c r="M6" s="285">
        <f t="shared" ca="1" si="0"/>
        <v>0.21693419146163057</v>
      </c>
      <c r="N6" s="284">
        <f ca="1"/>
        <v>0.65364487824947082</v>
      </c>
      <c r="O6" s="284">
        <f ca="1"/>
        <v>1.6744368421527933</v>
      </c>
      <c r="P6" s="284">
        <f ca="1"/>
        <v>1.6754214823130558</v>
      </c>
      <c r="Q6" s="284">
        <f ca="1"/>
        <v>1.675484100021384</v>
      </c>
      <c r="R6" s="284">
        <f ca="1"/>
        <v>1.6754813930414438</v>
      </c>
      <c r="S6" s="284">
        <f ca="1"/>
        <v>1.6754812382747311</v>
      </c>
      <c r="T6" s="284">
        <f ca="1"/>
        <v>1.6754812456671542</v>
      </c>
      <c r="U6" s="284">
        <f ca="1"/>
        <v>1.6754812460478501</v>
      </c>
      <c r="V6" s="284">
        <f ca="1"/>
        <v>1.6754812460277702</v>
      </c>
      <c r="W6" s="284">
        <f ca="1"/>
        <v>1.6754812460268389</v>
      </c>
      <c r="X6" s="284">
        <f ca="1"/>
        <v>1.6754812460268931</v>
      </c>
      <c r="Y6" s="284">
        <f ca="1"/>
        <v>1.6754812460268953</v>
      </c>
      <c r="Z6" s="284">
        <f ca="1"/>
        <v>1.6754812460268953</v>
      </c>
      <c r="AA6" s="284">
        <f ca="1"/>
        <v>1.6754812460268953</v>
      </c>
      <c r="AB6" s="284">
        <f ca="1"/>
        <v>1.6754812460268953</v>
      </c>
      <c r="AC6" s="284">
        <f ca="1"/>
        <v>1.6754812460268953</v>
      </c>
      <c r="AD6" s="284">
        <f ca="1"/>
        <v>1.6754812460268953</v>
      </c>
      <c r="AE6" s="284">
        <f ca="1"/>
        <v>1.6754812460268953</v>
      </c>
      <c r="AF6" s="284">
        <f ca="1"/>
        <v>1.6754812460268953</v>
      </c>
      <c r="AG6" s="284">
        <f ca="1"/>
        <v>1.6754812460268953</v>
      </c>
    </row>
    <row r="7" spans="1:33" x14ac:dyDescent="0.3">
      <c r="A7" s="282">
        <v>3</v>
      </c>
      <c r="B7" s="284">
        <f ca="1">IF(ISNA(Summary!C40),0,Summary!C40)</f>
        <v>1.2011244339814313</v>
      </c>
      <c r="C7" s="284">
        <f ca="1">IF(ISNA(Summary!D40),0,Summary!D40)</f>
        <v>1.6437518295172258</v>
      </c>
      <c r="D7" s="283">
        <v>1</v>
      </c>
      <c r="E7" s="284">
        <f>IF(ISNA(Summary!F40),0,Summary!F40)</f>
        <v>0</v>
      </c>
      <c r="F7" s="284">
        <f>IF(ISNA(Summary!G40),0,Summary!G40)</f>
        <v>0</v>
      </c>
      <c r="G7" s="284">
        <f>IF(ISNA(Summary!H40),0,Summary!H40)</f>
        <v>0</v>
      </c>
      <c r="H7" s="284">
        <f>IF(ISNA(Summary!I40),0,Summary!I40)</f>
        <v>0</v>
      </c>
      <c r="I7" s="284">
        <f>IF(ISNA(Summary!J40),0,Summary!J40)</f>
        <v>0</v>
      </c>
      <c r="J7" s="284">
        <f>IF(ISNA(Summary!K40),0,Summary!K40)</f>
        <v>0</v>
      </c>
      <c r="K7" s="284">
        <f>IF(ISNA(Summary!L40),0,Summary!L40)</f>
        <v>0</v>
      </c>
      <c r="M7" s="285">
        <f t="shared" ca="1" si="0"/>
        <v>0.38448762634986566</v>
      </c>
      <c r="N7" s="284">
        <f ca="1"/>
        <v>1.1752987806817368</v>
      </c>
      <c r="O7" s="284">
        <f ca="1"/>
        <v>3.0059805593929618</v>
      </c>
      <c r="P7" s="284">
        <f ca="1"/>
        <v>3.0076495873469948</v>
      </c>
      <c r="Q7" s="284">
        <f ca="1"/>
        <v>3.0077745755698073</v>
      </c>
      <c r="R7" s="284">
        <f ca="1"/>
        <v>3.0077699383491683</v>
      </c>
      <c r="S7" s="284">
        <f ca="1"/>
        <v>3.0077696274477734</v>
      </c>
      <c r="T7" s="284">
        <f ca="1"/>
        <v>3.0077696402296921</v>
      </c>
      <c r="U7" s="284">
        <f ca="1"/>
        <v>3.0077696409997916</v>
      </c>
      <c r="V7" s="284">
        <f ca="1"/>
        <v>3.0077696409647832</v>
      </c>
      <c r="W7" s="284">
        <f ca="1"/>
        <v>3.0077696409628851</v>
      </c>
      <c r="X7" s="284">
        <f ca="1"/>
        <v>3.0077696409629802</v>
      </c>
      <c r="Y7" s="284">
        <f ca="1"/>
        <v>3.0077696409629846</v>
      </c>
      <c r="Z7" s="284">
        <f ca="1"/>
        <v>3.0077696409629846</v>
      </c>
      <c r="AA7" s="284">
        <f ca="1"/>
        <v>3.0077696409629846</v>
      </c>
      <c r="AB7" s="284">
        <f ca="1"/>
        <v>3.0077696409629846</v>
      </c>
      <c r="AC7" s="284">
        <f ca="1"/>
        <v>3.0077696409629846</v>
      </c>
      <c r="AD7" s="284">
        <f ca="1"/>
        <v>3.0077696409629846</v>
      </c>
      <c r="AE7" s="284">
        <f ca="1"/>
        <v>3.0077696409629846</v>
      </c>
      <c r="AF7" s="284">
        <f ca="1"/>
        <v>3.0077696409629846</v>
      </c>
      <c r="AG7" s="284">
        <f ca="1"/>
        <v>3.0077696409629846</v>
      </c>
    </row>
    <row r="8" spans="1:33" x14ac:dyDescent="0.3">
      <c r="A8" s="282">
        <v>4</v>
      </c>
      <c r="B8" s="284">
        <f>IF(ISNA(Summary!C41),0,Summary!C41)</f>
        <v>0</v>
      </c>
      <c r="C8" s="284">
        <f>IF(ISNA(Summary!D41),0,Summary!D41)</f>
        <v>0</v>
      </c>
      <c r="D8" s="284">
        <f>IF(ISNA(Summary!E41),0,Summary!E41)</f>
        <v>0</v>
      </c>
      <c r="E8" s="283">
        <v>1</v>
      </c>
      <c r="F8" s="284">
        <f>IF(ISNA(Summary!G41),0,Summary!G41)</f>
        <v>0</v>
      </c>
      <c r="G8" s="284">
        <f>IF(ISNA(Summary!H41),0,Summary!H41)</f>
        <v>0</v>
      </c>
      <c r="H8" s="284">
        <f>IF(ISNA(Summary!I41),0,Summary!I41)</f>
        <v>0</v>
      </c>
      <c r="I8" s="284">
        <f>IF(ISNA(Summary!J41),0,Summary!J41)</f>
        <v>0</v>
      </c>
      <c r="J8" s="284">
        <f>IF(ISNA(Summary!K41),0,Summary!K41)</f>
        <v>0</v>
      </c>
      <c r="K8" s="284">
        <f>IF(ISNA(Summary!L41),0,Summary!L41)</f>
        <v>0</v>
      </c>
      <c r="M8" s="285">
        <f t="shared" si="0"/>
        <v>0.1</v>
      </c>
      <c r="N8" s="284">
        <f ca="1"/>
        <v>0.1</v>
      </c>
      <c r="O8" s="284">
        <f ca="1"/>
        <v>8.5084747507348388E-2</v>
      </c>
      <c r="P8" s="284">
        <f ca="1"/>
        <v>2.8305155614356568E-2</v>
      </c>
      <c r="Q8" s="284">
        <f ca="1"/>
        <v>9.4110549757640306E-3</v>
      </c>
      <c r="R8" s="284">
        <f ca="1"/>
        <v>3.1289096770096723E-3</v>
      </c>
      <c r="S8" s="284">
        <f ca="1"/>
        <v>1.0402755999107407E-3</v>
      </c>
      <c r="T8" s="284">
        <f ca="1"/>
        <v>3.4586279162392527E-4</v>
      </c>
      <c r="U8" s="284">
        <f ca="1"/>
        <v>1.1498978744845401E-4</v>
      </c>
      <c r="V8" s="284">
        <f ca="1"/>
        <v>3.8230915652912519E-5</v>
      </c>
      <c r="W8" s="284">
        <f ca="1"/>
        <v>1.2710719309158741E-5</v>
      </c>
      <c r="X8" s="284">
        <f ca="1"/>
        <v>4.2259617013388112E-6</v>
      </c>
      <c r="Y8" s="284">
        <f ca="1"/>
        <v>1.405015079541068E-6</v>
      </c>
      <c r="Z8" s="284">
        <f ca="1"/>
        <v>4.6712855280074918E-7</v>
      </c>
      <c r="AA8" s="284">
        <f ca="1"/>
        <v>1.5530729030538078E-7</v>
      </c>
      <c r="AB8" s="284">
        <f ca="1"/>
        <v>5.1635367346701696E-8</v>
      </c>
      <c r="AC8" s="284">
        <f ca="1"/>
        <v>1.7167327791156846E-8</v>
      </c>
      <c r="AD8" s="284">
        <f ca="1"/>
        <v>5.707660439600839E-9</v>
      </c>
      <c r="AE8" s="284">
        <f ca="1"/>
        <v>1.8976388224243934E-9</v>
      </c>
      <c r="AF8" s="284">
        <f ca="1"/>
        <v>6.3091228682554107E-10</v>
      </c>
      <c r="AG8" s="284">
        <f ca="1"/>
        <v>2.0976084013652875E-10</v>
      </c>
    </row>
    <row r="9" spans="1:33" x14ac:dyDescent="0.3">
      <c r="A9" s="282">
        <v>5</v>
      </c>
      <c r="B9" s="284">
        <f>IF(ISNA(Summary!C42),0,Summary!C42)</f>
        <v>0</v>
      </c>
      <c r="C9" s="284">
        <f>IF(ISNA(Summary!D42),0,Summary!D42)</f>
        <v>0</v>
      </c>
      <c r="D9" s="284">
        <f>IF(ISNA(Summary!E42),0,Summary!E42)</f>
        <v>0</v>
      </c>
      <c r="E9" s="284">
        <f>IF(ISNA(Summary!F42),0,Summary!F42)</f>
        <v>0</v>
      </c>
      <c r="F9" s="283">
        <v>1</v>
      </c>
      <c r="G9" s="284">
        <f>IF(ISNA(Summary!H42),0,Summary!H42)</f>
        <v>0</v>
      </c>
      <c r="H9" s="284">
        <f>IF(ISNA(Summary!I42),0,Summary!I42)</f>
        <v>0</v>
      </c>
      <c r="I9" s="284">
        <f>IF(ISNA(Summary!J42),0,Summary!J42)</f>
        <v>0</v>
      </c>
      <c r="J9" s="284">
        <f>IF(ISNA(Summary!K42),0,Summary!K42)</f>
        <v>0</v>
      </c>
      <c r="K9" s="284">
        <f>IF(ISNA(Summary!L42),0,Summary!L42)</f>
        <v>0</v>
      </c>
      <c r="M9" s="285">
        <f t="shared" si="0"/>
        <v>0.1</v>
      </c>
      <c r="N9" s="284">
        <f ca="1"/>
        <v>0.1</v>
      </c>
      <c r="O9" s="284">
        <f ca="1"/>
        <v>8.5084747507348388E-2</v>
      </c>
      <c r="P9" s="284">
        <f ca="1"/>
        <v>2.8305155614356568E-2</v>
      </c>
      <c r="Q9" s="284">
        <f ca="1"/>
        <v>9.4110549757640306E-3</v>
      </c>
      <c r="R9" s="284">
        <f ca="1"/>
        <v>3.1289096770096723E-3</v>
      </c>
      <c r="S9" s="284">
        <f ca="1"/>
        <v>1.0402755999107407E-3</v>
      </c>
      <c r="T9" s="284">
        <f ca="1"/>
        <v>3.4586279162392527E-4</v>
      </c>
      <c r="U9" s="284">
        <f ca="1"/>
        <v>1.1498978744845401E-4</v>
      </c>
      <c r="V9" s="284">
        <f ca="1"/>
        <v>3.8230915652912519E-5</v>
      </c>
      <c r="W9" s="284">
        <f ca="1"/>
        <v>1.2710719309158741E-5</v>
      </c>
      <c r="X9" s="284">
        <f ca="1"/>
        <v>4.2259617013388112E-6</v>
      </c>
      <c r="Y9" s="284">
        <f ca="1"/>
        <v>1.405015079541068E-6</v>
      </c>
      <c r="Z9" s="284">
        <f ca="1"/>
        <v>4.6712855280074918E-7</v>
      </c>
      <c r="AA9" s="284">
        <f ca="1"/>
        <v>1.5530729030538078E-7</v>
      </c>
      <c r="AB9" s="284">
        <f ca="1"/>
        <v>5.1635367346701696E-8</v>
      </c>
      <c r="AC9" s="284">
        <f ca="1"/>
        <v>1.7167327791156846E-8</v>
      </c>
      <c r="AD9" s="284">
        <f ca="1"/>
        <v>5.707660439600839E-9</v>
      </c>
      <c r="AE9" s="284">
        <f ca="1"/>
        <v>1.8976388224243934E-9</v>
      </c>
      <c r="AF9" s="284">
        <f ca="1"/>
        <v>6.3091228682554107E-10</v>
      </c>
      <c r="AG9" s="284">
        <f ca="1"/>
        <v>2.0976084013652875E-10</v>
      </c>
    </row>
    <row r="10" spans="1:33" x14ac:dyDescent="0.3">
      <c r="A10" s="282">
        <v>6</v>
      </c>
      <c r="B10" s="284">
        <f>IF(ISNA(Summary!C43),0,Summary!C43)</f>
        <v>0</v>
      </c>
      <c r="C10" s="284">
        <f>IF(ISNA(Summary!D43),0,Summary!D43)</f>
        <v>0</v>
      </c>
      <c r="D10" s="284">
        <f>IF(ISNA(Summary!E43),0,Summary!E43)</f>
        <v>0</v>
      </c>
      <c r="E10" s="284">
        <f>IF(ISNA(Summary!F43),0,Summary!F43)</f>
        <v>0</v>
      </c>
      <c r="F10" s="284">
        <f>IF(ISNA(Summary!G43),0,Summary!G43)</f>
        <v>0</v>
      </c>
      <c r="G10" s="283">
        <v>1</v>
      </c>
      <c r="H10" s="284">
        <f>IF(ISNA(Summary!I43),0,Summary!I43)</f>
        <v>0</v>
      </c>
      <c r="I10" s="284">
        <f>IF(ISNA(Summary!J43),0,Summary!J43)</f>
        <v>0</v>
      </c>
      <c r="J10" s="284">
        <f>IF(ISNA(Summary!K43),0,Summary!K43)</f>
        <v>0</v>
      </c>
      <c r="K10" s="284">
        <f>IF(ISNA(Summary!L43),0,Summary!L43)</f>
        <v>0</v>
      </c>
      <c r="M10" s="285">
        <f t="shared" si="0"/>
        <v>0.1</v>
      </c>
      <c r="N10" s="284">
        <f ca="1"/>
        <v>0.1</v>
      </c>
      <c r="O10" s="284">
        <f ca="1"/>
        <v>8.5084747507348388E-2</v>
      </c>
      <c r="P10" s="284">
        <f ca="1"/>
        <v>2.8305155614356568E-2</v>
      </c>
      <c r="Q10" s="284">
        <f ca="1"/>
        <v>9.4110549757640306E-3</v>
      </c>
      <c r="R10" s="284">
        <f ca="1"/>
        <v>3.1289096770096723E-3</v>
      </c>
      <c r="S10" s="284">
        <f ca="1"/>
        <v>1.0402755999107407E-3</v>
      </c>
      <c r="T10" s="284">
        <f ca="1"/>
        <v>3.4586279162392527E-4</v>
      </c>
      <c r="U10" s="284">
        <f ca="1"/>
        <v>1.1498978744845401E-4</v>
      </c>
      <c r="V10" s="284">
        <f ca="1"/>
        <v>3.8230915652912519E-5</v>
      </c>
      <c r="W10" s="284">
        <f ca="1"/>
        <v>1.2710719309158741E-5</v>
      </c>
      <c r="X10" s="284">
        <f ca="1"/>
        <v>4.2259617013388112E-6</v>
      </c>
      <c r="Y10" s="284">
        <f ca="1"/>
        <v>1.405015079541068E-6</v>
      </c>
      <c r="Z10" s="284">
        <f ca="1"/>
        <v>4.6712855280074918E-7</v>
      </c>
      <c r="AA10" s="284">
        <f ca="1"/>
        <v>1.5530729030538078E-7</v>
      </c>
      <c r="AB10" s="284">
        <f ca="1"/>
        <v>5.1635367346701696E-8</v>
      </c>
      <c r="AC10" s="284">
        <f ca="1"/>
        <v>1.7167327791156846E-8</v>
      </c>
      <c r="AD10" s="284">
        <f ca="1"/>
        <v>5.707660439600839E-9</v>
      </c>
      <c r="AE10" s="284">
        <f ca="1"/>
        <v>1.8976388224243934E-9</v>
      </c>
      <c r="AF10" s="284">
        <f ca="1"/>
        <v>6.3091228682554107E-10</v>
      </c>
      <c r="AG10" s="284">
        <f ca="1"/>
        <v>2.0976084013652875E-10</v>
      </c>
    </row>
    <row r="11" spans="1:33" x14ac:dyDescent="0.3">
      <c r="A11" s="282">
        <v>7</v>
      </c>
      <c r="B11" s="284">
        <f>IF(ISNA(Summary!C44),0,Summary!C44)</f>
        <v>0</v>
      </c>
      <c r="C11" s="284">
        <f>IF(ISNA(Summary!D44),0,Summary!D44)</f>
        <v>0</v>
      </c>
      <c r="D11" s="284">
        <f>IF(ISNA(Summary!E44),0,Summary!E44)</f>
        <v>0</v>
      </c>
      <c r="E11" s="284">
        <f>IF(ISNA(Summary!F44),0,Summary!F44)</f>
        <v>0</v>
      </c>
      <c r="F11" s="284">
        <f>IF(ISNA(Summary!G44),0,Summary!G44)</f>
        <v>0</v>
      </c>
      <c r="G11" s="284">
        <f>IF(ISNA(Summary!H44),0,Summary!H44)</f>
        <v>0</v>
      </c>
      <c r="H11" s="283">
        <v>1</v>
      </c>
      <c r="I11" s="284">
        <f>IF(ISNA(Summary!J44),0,Summary!J44)</f>
        <v>0</v>
      </c>
      <c r="J11" s="284">
        <f>IF(ISNA(Summary!K44),0,Summary!K44)</f>
        <v>0</v>
      </c>
      <c r="K11" s="284">
        <f>IF(ISNA(Summary!L44),0,Summary!L44)</f>
        <v>0</v>
      </c>
      <c r="M11" s="285">
        <f t="shared" si="0"/>
        <v>0.1</v>
      </c>
      <c r="N11" s="284">
        <f ca="1"/>
        <v>0.1</v>
      </c>
      <c r="O11" s="284">
        <f ca="1"/>
        <v>8.5084747507348388E-2</v>
      </c>
      <c r="P11" s="284">
        <f ca="1"/>
        <v>2.8305155614356568E-2</v>
      </c>
      <c r="Q11" s="284">
        <f ca="1"/>
        <v>9.4110549757640306E-3</v>
      </c>
      <c r="R11" s="284">
        <f ca="1"/>
        <v>3.1289096770096723E-3</v>
      </c>
      <c r="S11" s="284">
        <f ca="1"/>
        <v>1.0402755999107407E-3</v>
      </c>
      <c r="T11" s="284">
        <f ca="1"/>
        <v>3.4586279162392527E-4</v>
      </c>
      <c r="U11" s="284">
        <f ca="1"/>
        <v>1.1498978744845401E-4</v>
      </c>
      <c r="V11" s="284">
        <f ca="1"/>
        <v>3.8230915652912519E-5</v>
      </c>
      <c r="W11" s="284">
        <f ca="1"/>
        <v>1.2710719309158741E-5</v>
      </c>
      <c r="X11" s="284">
        <f ca="1"/>
        <v>4.2259617013388112E-6</v>
      </c>
      <c r="Y11" s="284">
        <f ca="1"/>
        <v>1.405015079541068E-6</v>
      </c>
      <c r="Z11" s="284">
        <f ca="1"/>
        <v>4.6712855280074918E-7</v>
      </c>
      <c r="AA11" s="284">
        <f ca="1"/>
        <v>1.5530729030538078E-7</v>
      </c>
      <c r="AB11" s="284">
        <f ca="1"/>
        <v>5.1635367346701696E-8</v>
      </c>
      <c r="AC11" s="284">
        <f ca="1"/>
        <v>1.7167327791156846E-8</v>
      </c>
      <c r="AD11" s="284">
        <f ca="1"/>
        <v>5.707660439600839E-9</v>
      </c>
      <c r="AE11" s="284">
        <f ca="1"/>
        <v>1.8976388224243934E-9</v>
      </c>
      <c r="AF11" s="284">
        <f ca="1"/>
        <v>6.3091228682554107E-10</v>
      </c>
      <c r="AG11" s="284">
        <f ca="1"/>
        <v>2.0976084013652875E-10</v>
      </c>
    </row>
    <row r="12" spans="1:33" x14ac:dyDescent="0.3">
      <c r="A12" s="282">
        <v>8</v>
      </c>
      <c r="B12" s="284">
        <f>IF(ISNA(Summary!C45),0,Summary!C45)</f>
        <v>0</v>
      </c>
      <c r="C12" s="284">
        <f>IF(ISNA(Summary!D45),0,Summary!D45)</f>
        <v>0</v>
      </c>
      <c r="D12" s="284">
        <f>IF(ISNA(Summary!E45),0,Summary!E45)</f>
        <v>0</v>
      </c>
      <c r="E12" s="284">
        <f>IF(ISNA(Summary!F45),0,Summary!F45)</f>
        <v>0</v>
      </c>
      <c r="F12" s="284">
        <f>IF(ISNA(Summary!G45),0,Summary!G45)</f>
        <v>0</v>
      </c>
      <c r="G12" s="284">
        <f>IF(ISNA(Summary!H45),0,Summary!H45)</f>
        <v>0</v>
      </c>
      <c r="H12" s="284">
        <f>IF(ISNA(Summary!I45),0,Summary!I45)</f>
        <v>0</v>
      </c>
      <c r="I12" s="283">
        <v>1</v>
      </c>
      <c r="J12" s="284">
        <f>IF(ISNA(Summary!K45),0,Summary!K45)</f>
        <v>0</v>
      </c>
      <c r="K12" s="284">
        <f>IF(ISNA(Summary!L45),0,Summary!L45)</f>
        <v>0</v>
      </c>
      <c r="M12" s="285">
        <f t="shared" si="0"/>
        <v>0.1</v>
      </c>
      <c r="N12" s="284">
        <f ca="1"/>
        <v>0.1</v>
      </c>
      <c r="O12" s="284">
        <f ca="1"/>
        <v>8.5084747507348388E-2</v>
      </c>
      <c r="P12" s="284">
        <f ca="1"/>
        <v>2.8305155614356568E-2</v>
      </c>
      <c r="Q12" s="284">
        <f ca="1"/>
        <v>9.4110549757640306E-3</v>
      </c>
      <c r="R12" s="284">
        <f ca="1"/>
        <v>3.1289096770096723E-3</v>
      </c>
      <c r="S12" s="284">
        <f ca="1"/>
        <v>1.0402755999107407E-3</v>
      </c>
      <c r="T12" s="284">
        <f ca="1"/>
        <v>3.4586279162392527E-4</v>
      </c>
      <c r="U12" s="284">
        <f ca="1"/>
        <v>1.1498978744845401E-4</v>
      </c>
      <c r="V12" s="284">
        <f ca="1"/>
        <v>3.8230915652912519E-5</v>
      </c>
      <c r="W12" s="284">
        <f ca="1"/>
        <v>1.2710719309158741E-5</v>
      </c>
      <c r="X12" s="284">
        <f ca="1"/>
        <v>4.2259617013388112E-6</v>
      </c>
      <c r="Y12" s="284">
        <f ca="1"/>
        <v>1.405015079541068E-6</v>
      </c>
      <c r="Z12" s="284">
        <f ca="1"/>
        <v>4.6712855280074918E-7</v>
      </c>
      <c r="AA12" s="284">
        <f ca="1"/>
        <v>1.5530729030538078E-7</v>
      </c>
      <c r="AB12" s="284">
        <f ca="1"/>
        <v>5.1635367346701696E-8</v>
      </c>
      <c r="AC12" s="284">
        <f ca="1"/>
        <v>1.7167327791156846E-8</v>
      </c>
      <c r="AD12" s="284">
        <f ca="1"/>
        <v>5.707660439600839E-9</v>
      </c>
      <c r="AE12" s="284">
        <f ca="1"/>
        <v>1.8976388224243934E-9</v>
      </c>
      <c r="AF12" s="284">
        <f ca="1"/>
        <v>6.3091228682554107E-10</v>
      </c>
      <c r="AG12" s="284">
        <f ca="1"/>
        <v>2.0976084013652875E-10</v>
      </c>
    </row>
    <row r="13" spans="1:33" x14ac:dyDescent="0.3">
      <c r="A13" s="282">
        <v>9</v>
      </c>
      <c r="B13" s="284">
        <f>IF(ISNA(Summary!C46),0,Summary!C46)</f>
        <v>0</v>
      </c>
      <c r="C13" s="284">
        <f>IF(ISNA(Summary!D46),0,Summary!D46)</f>
        <v>0</v>
      </c>
      <c r="D13" s="284">
        <f>IF(ISNA(Summary!E46),0,Summary!E46)</f>
        <v>0</v>
      </c>
      <c r="E13" s="284">
        <f>IF(ISNA(Summary!F46),0,Summary!F46)</f>
        <v>0</v>
      </c>
      <c r="F13" s="284">
        <f>IF(ISNA(Summary!G46),0,Summary!G46)</f>
        <v>0</v>
      </c>
      <c r="G13" s="284">
        <f>IF(ISNA(Summary!H46),0,Summary!H46)</f>
        <v>0</v>
      </c>
      <c r="H13" s="284">
        <f>IF(ISNA(Summary!I46),0,Summary!I46)</f>
        <v>0</v>
      </c>
      <c r="I13" s="284">
        <f>IF(ISNA(Summary!J46),0,Summary!J46)</f>
        <v>0</v>
      </c>
      <c r="J13" s="283">
        <v>1</v>
      </c>
      <c r="K13" s="284">
        <f>IF(ISNA(Summary!L46),0,Summary!L46)</f>
        <v>0</v>
      </c>
      <c r="M13" s="285">
        <f t="shared" si="0"/>
        <v>0.1</v>
      </c>
      <c r="N13" s="284">
        <f ca="1"/>
        <v>0.1</v>
      </c>
      <c r="O13" s="284">
        <f ca="1"/>
        <v>8.5084747507348388E-2</v>
      </c>
      <c r="P13" s="284">
        <f ca="1"/>
        <v>2.8305155614356568E-2</v>
      </c>
      <c r="Q13" s="284">
        <f ca="1"/>
        <v>9.4110549757640306E-3</v>
      </c>
      <c r="R13" s="284">
        <f ca="1"/>
        <v>3.1289096770096723E-3</v>
      </c>
      <c r="S13" s="284">
        <f ca="1"/>
        <v>1.0402755999107407E-3</v>
      </c>
      <c r="T13" s="284">
        <f ca="1"/>
        <v>3.4586279162392527E-4</v>
      </c>
      <c r="U13" s="284">
        <f ca="1"/>
        <v>1.1498978744845401E-4</v>
      </c>
      <c r="V13" s="284">
        <f ca="1"/>
        <v>3.8230915652912519E-5</v>
      </c>
      <c r="W13" s="284">
        <f ca="1"/>
        <v>1.2710719309158741E-5</v>
      </c>
      <c r="X13" s="284">
        <f ca="1"/>
        <v>4.2259617013388112E-6</v>
      </c>
      <c r="Y13" s="284">
        <f ca="1"/>
        <v>1.405015079541068E-6</v>
      </c>
      <c r="Z13" s="284">
        <f ca="1"/>
        <v>4.6712855280074918E-7</v>
      </c>
      <c r="AA13" s="284">
        <f ca="1"/>
        <v>1.5530729030538078E-7</v>
      </c>
      <c r="AB13" s="284">
        <f ca="1"/>
        <v>5.1635367346701696E-8</v>
      </c>
      <c r="AC13" s="284">
        <f ca="1"/>
        <v>1.7167327791156846E-8</v>
      </c>
      <c r="AD13" s="284">
        <f ca="1"/>
        <v>5.707660439600839E-9</v>
      </c>
      <c r="AE13" s="284">
        <f ca="1"/>
        <v>1.8976388224243934E-9</v>
      </c>
      <c r="AF13" s="284">
        <f ca="1"/>
        <v>6.3091228682554107E-10</v>
      </c>
      <c r="AG13" s="284">
        <f ca="1"/>
        <v>2.0976084013652875E-10</v>
      </c>
    </row>
    <row r="14" spans="1:33" x14ac:dyDescent="0.3">
      <c r="A14" s="282">
        <v>10</v>
      </c>
      <c r="B14" s="284">
        <f>IF(ISNA(Summary!C47),0,Summary!C47)</f>
        <v>0</v>
      </c>
      <c r="C14" s="284">
        <f>IF(ISNA(Summary!D47),0,Summary!D47)</f>
        <v>0</v>
      </c>
      <c r="D14" s="284">
        <f>IF(ISNA(Summary!E47),0,Summary!E47)</f>
        <v>0</v>
      </c>
      <c r="E14" s="284">
        <f>IF(ISNA(Summary!F47),0,Summary!F47)</f>
        <v>0</v>
      </c>
      <c r="F14" s="284">
        <f>IF(ISNA(Summary!G47),0,Summary!G47)</f>
        <v>0</v>
      </c>
      <c r="G14" s="284">
        <f>IF(ISNA(Summary!H47),0,Summary!H47)</f>
        <v>0</v>
      </c>
      <c r="H14" s="284">
        <f>IF(ISNA(Summary!I47),0,Summary!I47)</f>
        <v>0</v>
      </c>
      <c r="I14" s="284">
        <f>IF(ISNA(Summary!J47),0,Summary!J47)</f>
        <v>0</v>
      </c>
      <c r="J14" s="284">
        <f>IF(ISNA(Summary!K47),0,Summary!K47)</f>
        <v>0</v>
      </c>
      <c r="K14" s="283">
        <v>1</v>
      </c>
      <c r="M14" s="285">
        <f t="shared" si="0"/>
        <v>0.1</v>
      </c>
      <c r="N14" s="284">
        <f ca="1"/>
        <v>0.1</v>
      </c>
      <c r="O14" s="284">
        <f ca="1"/>
        <v>8.5084747507348388E-2</v>
      </c>
      <c r="P14" s="284">
        <f ca="1"/>
        <v>2.8305155614356568E-2</v>
      </c>
      <c r="Q14" s="284">
        <f ca="1"/>
        <v>9.4110549757640306E-3</v>
      </c>
      <c r="R14" s="284">
        <f ca="1"/>
        <v>3.1289096770096723E-3</v>
      </c>
      <c r="S14" s="284">
        <f ca="1"/>
        <v>1.0402755999107407E-3</v>
      </c>
      <c r="T14" s="284">
        <f ca="1"/>
        <v>3.4586279162392527E-4</v>
      </c>
      <c r="U14" s="284">
        <f ca="1"/>
        <v>1.1498978744845401E-4</v>
      </c>
      <c r="V14" s="284">
        <f ca="1"/>
        <v>3.8230915652912519E-5</v>
      </c>
      <c r="W14" s="284">
        <f ca="1"/>
        <v>1.2710719309158741E-5</v>
      </c>
      <c r="X14" s="284">
        <f ca="1"/>
        <v>4.2259617013388112E-6</v>
      </c>
      <c r="Y14" s="284">
        <f ca="1"/>
        <v>1.405015079541068E-6</v>
      </c>
      <c r="Z14" s="284">
        <f ca="1"/>
        <v>4.6712855280074918E-7</v>
      </c>
      <c r="AA14" s="284">
        <f ca="1"/>
        <v>1.5530729030538078E-7</v>
      </c>
      <c r="AB14" s="284">
        <f ca="1"/>
        <v>5.1635367346701696E-8</v>
      </c>
      <c r="AC14" s="284">
        <f ca="1"/>
        <v>1.7167327791156846E-8</v>
      </c>
      <c r="AD14" s="284">
        <f ca="1"/>
        <v>5.707660439600839E-9</v>
      </c>
      <c r="AE14" s="284">
        <f ca="1"/>
        <v>1.8976388224243934E-9</v>
      </c>
      <c r="AF14" s="284">
        <f ca="1"/>
        <v>6.3091228682554107E-10</v>
      </c>
      <c r="AG14" s="284">
        <f ca="1"/>
        <v>2.0976084013652875E-10</v>
      </c>
    </row>
    <row r="15" spans="1:33" x14ac:dyDescent="0.3">
      <c r="A15" s="275" t="s">
        <v>136</v>
      </c>
      <c r="B15" s="282">
        <f t="shared" ref="B15:K15" ca="1" si="1">IF($M$1&gt;=B4,SUM(B5:B14),0)</f>
        <v>2.7621020067045312</v>
      </c>
      <c r="C15" s="282">
        <f t="shared" ca="1" si="1"/>
        <v>4.4263542874832291</v>
      </c>
      <c r="D15" s="282">
        <f t="shared" ca="1" si="1"/>
        <v>2.440917549295079</v>
      </c>
      <c r="E15" s="282">
        <f t="shared" si="1"/>
        <v>0</v>
      </c>
      <c r="F15" s="282">
        <f t="shared" si="1"/>
        <v>0</v>
      </c>
      <c r="G15" s="282">
        <f t="shared" si="1"/>
        <v>0</v>
      </c>
      <c r="H15" s="282">
        <f t="shared" si="1"/>
        <v>0</v>
      </c>
      <c r="I15" s="282">
        <f t="shared" si="1"/>
        <v>0</v>
      </c>
      <c r="J15" s="282">
        <f t="shared" si="1"/>
        <v>0</v>
      </c>
      <c r="K15" s="282">
        <f t="shared" si="1"/>
        <v>0</v>
      </c>
      <c r="L15" s="286"/>
      <c r="M15" s="281" t="s">
        <v>137</v>
      </c>
      <c r="N15" s="286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</row>
    <row r="16" spans="1:33" x14ac:dyDescent="0.3">
      <c r="L16" s="287"/>
      <c r="M16" s="284">
        <f t="shared" ref="M16:AG16" ca="1" si="2">M5/MAX(M$5:M$14)</f>
        <v>0.94025279816892082</v>
      </c>
      <c r="N16" s="284">
        <f t="shared" ca="1" si="2"/>
        <v>0.9089853691138714</v>
      </c>
      <c r="O16" s="284">
        <f t="shared" ca="1" si="2"/>
        <v>0.90916644759887444</v>
      </c>
      <c r="P16" s="284">
        <f t="shared" ca="1" si="2"/>
        <v>0.9092455119137417</v>
      </c>
      <c r="Q16" s="284">
        <f t="shared" ca="1" si="2"/>
        <v>0.90924483948972679</v>
      </c>
      <c r="R16" s="284">
        <f t="shared" ca="1" si="2"/>
        <v>0.90924463698083413</v>
      </c>
      <c r="S16" s="284">
        <f t="shared" ca="1" si="2"/>
        <v>0.90924463924094856</v>
      </c>
      <c r="T16" s="284">
        <f t="shared" ca="1" si="2"/>
        <v>0.90924463975822922</v>
      </c>
      <c r="U16" s="284">
        <f t="shared" ca="1" si="2"/>
        <v>0.90924463975105441</v>
      </c>
      <c r="V16" s="284">
        <f t="shared" ca="1" si="2"/>
        <v>0.90924463974973702</v>
      </c>
      <c r="W16" s="284">
        <f t="shared" ca="1" si="2"/>
        <v>0.90924463974975878</v>
      </c>
      <c r="X16" s="284">
        <f t="shared" ca="1" si="2"/>
        <v>0.90924463974976211</v>
      </c>
      <c r="Y16" s="284">
        <f t="shared" ca="1" si="2"/>
        <v>0.90924463974976222</v>
      </c>
      <c r="Z16" s="284">
        <f t="shared" ca="1" si="2"/>
        <v>0.90924463974976211</v>
      </c>
      <c r="AA16" s="284">
        <f t="shared" ca="1" si="2"/>
        <v>0.90924463974976188</v>
      </c>
      <c r="AB16" s="284">
        <f t="shared" ca="1" si="2"/>
        <v>0.90924463974976188</v>
      </c>
      <c r="AC16" s="284">
        <f t="shared" ca="1" si="2"/>
        <v>0.90924463974976188</v>
      </c>
      <c r="AD16" s="284">
        <f t="shared" ca="1" si="2"/>
        <v>0.90924463974976188</v>
      </c>
      <c r="AE16" s="284">
        <f t="shared" ca="1" si="2"/>
        <v>0.90924463974976188</v>
      </c>
      <c r="AF16" s="284">
        <f t="shared" ca="1" si="2"/>
        <v>0.90924463974976188</v>
      </c>
      <c r="AG16" s="284">
        <f t="shared" ca="1" si="2"/>
        <v>0.90924463974976188</v>
      </c>
    </row>
    <row r="17" spans="2:33" x14ac:dyDescent="0.3">
      <c r="L17" s="287"/>
      <c r="M17" s="284">
        <f t="shared" ref="M17:AG17" ca="1" si="3">M6/MAX(M$5:M$14)</f>
        <v>0.56421631437426456</v>
      </c>
      <c r="N17" s="284">
        <f t="shared" ca="1" si="3"/>
        <v>0.55615209425327705</v>
      </c>
      <c r="O17" s="284">
        <f t="shared" ca="1" si="3"/>
        <v>0.55703515344455024</v>
      </c>
      <c r="P17" s="284">
        <f t="shared" ca="1" si="3"/>
        <v>0.55705341784543505</v>
      </c>
      <c r="Q17" s="284">
        <f t="shared" ca="1" si="3"/>
        <v>0.5570510880802868</v>
      </c>
      <c r="R17" s="284">
        <f t="shared" ca="1" si="3"/>
        <v>0.55705104691652096</v>
      </c>
      <c r="S17" s="284">
        <f t="shared" ca="1" si="3"/>
        <v>0.55705105304107072</v>
      </c>
      <c r="T17" s="284">
        <f t="shared" ca="1" si="3"/>
        <v>0.55705105313158354</v>
      </c>
      <c r="U17" s="284">
        <f t="shared" ca="1" si="3"/>
        <v>0.55705105311552883</v>
      </c>
      <c r="V17" s="284">
        <f t="shared" ca="1" si="3"/>
        <v>0.55705105311533654</v>
      </c>
      <c r="W17" s="284">
        <f t="shared" ca="1" si="3"/>
        <v>0.5570510531153785</v>
      </c>
      <c r="X17" s="284">
        <f t="shared" ca="1" si="3"/>
        <v>0.55705105311537884</v>
      </c>
      <c r="Y17" s="284">
        <f t="shared" ca="1" si="3"/>
        <v>0.55705105311537872</v>
      </c>
      <c r="Z17" s="284">
        <f t="shared" ca="1" si="3"/>
        <v>0.55705105311537872</v>
      </c>
      <c r="AA17" s="284">
        <f t="shared" ca="1" si="3"/>
        <v>0.55705105311537872</v>
      </c>
      <c r="AB17" s="284">
        <f t="shared" ca="1" si="3"/>
        <v>0.55705105311537872</v>
      </c>
      <c r="AC17" s="284">
        <f t="shared" ca="1" si="3"/>
        <v>0.55705105311537872</v>
      </c>
      <c r="AD17" s="284">
        <f t="shared" ca="1" si="3"/>
        <v>0.55705105311537872</v>
      </c>
      <c r="AE17" s="284">
        <f t="shared" ca="1" si="3"/>
        <v>0.55705105311537872</v>
      </c>
      <c r="AF17" s="284">
        <f t="shared" ca="1" si="3"/>
        <v>0.55705105311537872</v>
      </c>
      <c r="AG17" s="284">
        <f t="shared" ca="1" si="3"/>
        <v>0.55705105311537872</v>
      </c>
    </row>
    <row r="18" spans="2:33" x14ac:dyDescent="0.3">
      <c r="L18" s="287"/>
      <c r="M18" s="284">
        <f t="shared" ref="M18:AG18" ca="1" si="4">M7/MAX(M$5:M$14)</f>
        <v>1</v>
      </c>
      <c r="N18" s="284">
        <f t="shared" ca="1" si="4"/>
        <v>1</v>
      </c>
      <c r="O18" s="284">
        <f t="shared" ca="1" si="4"/>
        <v>1</v>
      </c>
      <c r="P18" s="284">
        <f t="shared" ca="1" si="4"/>
        <v>1</v>
      </c>
      <c r="Q18" s="284">
        <f t="shared" ca="1" si="4"/>
        <v>1</v>
      </c>
      <c r="R18" s="284">
        <f t="shared" ca="1" si="4"/>
        <v>1</v>
      </c>
      <c r="S18" s="284">
        <f t="shared" ca="1" si="4"/>
        <v>1</v>
      </c>
      <c r="T18" s="284">
        <f t="shared" ca="1" si="4"/>
        <v>1</v>
      </c>
      <c r="U18" s="284">
        <f t="shared" ca="1" si="4"/>
        <v>1</v>
      </c>
      <c r="V18" s="284">
        <f t="shared" ca="1" si="4"/>
        <v>1</v>
      </c>
      <c r="W18" s="284">
        <f t="shared" ca="1" si="4"/>
        <v>1</v>
      </c>
      <c r="X18" s="284">
        <f t="shared" ca="1" si="4"/>
        <v>1</v>
      </c>
      <c r="Y18" s="284">
        <f t="shared" ca="1" si="4"/>
        <v>1</v>
      </c>
      <c r="Z18" s="284">
        <f t="shared" ca="1" si="4"/>
        <v>1</v>
      </c>
      <c r="AA18" s="284">
        <f t="shared" ca="1" si="4"/>
        <v>1</v>
      </c>
      <c r="AB18" s="284">
        <f t="shared" ca="1" si="4"/>
        <v>1</v>
      </c>
      <c r="AC18" s="284">
        <f t="shared" ca="1" si="4"/>
        <v>1</v>
      </c>
      <c r="AD18" s="284">
        <f t="shared" ca="1" si="4"/>
        <v>1</v>
      </c>
      <c r="AE18" s="284">
        <f t="shared" ca="1" si="4"/>
        <v>1</v>
      </c>
      <c r="AF18" s="284">
        <f t="shared" ca="1" si="4"/>
        <v>1</v>
      </c>
      <c r="AG18" s="284">
        <f t="shared" ca="1" si="4"/>
        <v>1</v>
      </c>
    </row>
    <row r="19" spans="2:33" x14ac:dyDescent="0.3">
      <c r="L19" s="287"/>
      <c r="M19" s="284">
        <f t="shared" ref="M19:AG19" ca="1" si="5">M8/MAX(M$5:M$14)</f>
        <v>0.26008639328487704</v>
      </c>
      <c r="N19" s="284">
        <f t="shared" ca="1" si="5"/>
        <v>8.5084747507348388E-2</v>
      </c>
      <c r="O19" s="284">
        <f t="shared" ca="1" si="5"/>
        <v>2.8305155614356568E-2</v>
      </c>
      <c r="P19" s="284">
        <f t="shared" ca="1" si="5"/>
        <v>9.4110549757640306E-3</v>
      </c>
      <c r="Q19" s="284">
        <f t="shared" ca="1" si="5"/>
        <v>3.1289096770096723E-3</v>
      </c>
      <c r="R19" s="284">
        <f t="shared" ca="1" si="5"/>
        <v>1.0402755999107407E-3</v>
      </c>
      <c r="S19" s="284">
        <f t="shared" ca="1" si="5"/>
        <v>3.4586279162392527E-4</v>
      </c>
      <c r="T19" s="284">
        <f t="shared" ca="1" si="5"/>
        <v>1.1498978744845401E-4</v>
      </c>
      <c r="U19" s="284">
        <f t="shared" ca="1" si="5"/>
        <v>3.8230915652912519E-5</v>
      </c>
      <c r="V19" s="284">
        <f t="shared" ca="1" si="5"/>
        <v>1.2710719309158741E-5</v>
      </c>
      <c r="W19" s="284">
        <f t="shared" ca="1" si="5"/>
        <v>4.2259617013388112E-6</v>
      </c>
      <c r="X19" s="284">
        <f t="shared" ca="1" si="5"/>
        <v>1.405015079541068E-6</v>
      </c>
      <c r="Y19" s="284">
        <f t="shared" ca="1" si="5"/>
        <v>4.6712855280074918E-7</v>
      </c>
      <c r="Z19" s="284">
        <f t="shared" ca="1" si="5"/>
        <v>1.5530729030538078E-7</v>
      </c>
      <c r="AA19" s="284">
        <f t="shared" ca="1" si="5"/>
        <v>5.1635367346701696E-8</v>
      </c>
      <c r="AB19" s="284">
        <f t="shared" ca="1" si="5"/>
        <v>1.7167327791156846E-8</v>
      </c>
      <c r="AC19" s="284">
        <f t="shared" ca="1" si="5"/>
        <v>5.707660439600839E-9</v>
      </c>
      <c r="AD19" s="284">
        <f t="shared" ca="1" si="5"/>
        <v>1.8976388224243934E-9</v>
      </c>
      <c r="AE19" s="284">
        <f t="shared" ca="1" si="5"/>
        <v>6.3091228682554107E-10</v>
      </c>
      <c r="AF19" s="284">
        <f t="shared" ca="1" si="5"/>
        <v>2.0976084013652875E-10</v>
      </c>
      <c r="AG19" s="284">
        <f t="shared" ca="1" si="5"/>
        <v>6.9739662665579178E-11</v>
      </c>
    </row>
    <row r="20" spans="2:33" x14ac:dyDescent="0.3">
      <c r="M20" s="284">
        <f t="shared" ref="M20:AG20" ca="1" si="6">M9/MAX(M$5:M$14)</f>
        <v>0.26008639328487704</v>
      </c>
      <c r="N20" s="284">
        <f t="shared" ca="1" si="6"/>
        <v>8.5084747507348388E-2</v>
      </c>
      <c r="O20" s="284">
        <f t="shared" ca="1" si="6"/>
        <v>2.8305155614356568E-2</v>
      </c>
      <c r="P20" s="284">
        <f t="shared" ca="1" si="6"/>
        <v>9.4110549757640306E-3</v>
      </c>
      <c r="Q20" s="284">
        <f t="shared" ca="1" si="6"/>
        <v>3.1289096770096723E-3</v>
      </c>
      <c r="R20" s="284">
        <f t="shared" ca="1" si="6"/>
        <v>1.0402755999107407E-3</v>
      </c>
      <c r="S20" s="284">
        <f t="shared" ca="1" si="6"/>
        <v>3.4586279162392527E-4</v>
      </c>
      <c r="T20" s="284">
        <f t="shared" ca="1" si="6"/>
        <v>1.1498978744845401E-4</v>
      </c>
      <c r="U20" s="284">
        <f t="shared" ca="1" si="6"/>
        <v>3.8230915652912519E-5</v>
      </c>
      <c r="V20" s="284">
        <f t="shared" ca="1" si="6"/>
        <v>1.2710719309158741E-5</v>
      </c>
      <c r="W20" s="284">
        <f t="shared" ca="1" si="6"/>
        <v>4.2259617013388112E-6</v>
      </c>
      <c r="X20" s="284">
        <f t="shared" ca="1" si="6"/>
        <v>1.405015079541068E-6</v>
      </c>
      <c r="Y20" s="284">
        <f t="shared" ca="1" si="6"/>
        <v>4.6712855280074918E-7</v>
      </c>
      <c r="Z20" s="284">
        <f t="shared" ca="1" si="6"/>
        <v>1.5530729030538078E-7</v>
      </c>
      <c r="AA20" s="284">
        <f t="shared" ca="1" si="6"/>
        <v>5.1635367346701696E-8</v>
      </c>
      <c r="AB20" s="284">
        <f t="shared" ca="1" si="6"/>
        <v>1.7167327791156846E-8</v>
      </c>
      <c r="AC20" s="284">
        <f t="shared" ca="1" si="6"/>
        <v>5.707660439600839E-9</v>
      </c>
      <c r="AD20" s="284">
        <f t="shared" ca="1" si="6"/>
        <v>1.8976388224243934E-9</v>
      </c>
      <c r="AE20" s="284">
        <f t="shared" ca="1" si="6"/>
        <v>6.3091228682554107E-10</v>
      </c>
      <c r="AF20" s="284">
        <f t="shared" ca="1" si="6"/>
        <v>2.0976084013652875E-10</v>
      </c>
      <c r="AG20" s="284">
        <f t="shared" ca="1" si="6"/>
        <v>6.9739662665579178E-11</v>
      </c>
    </row>
    <row r="21" spans="2:33" x14ac:dyDescent="0.3">
      <c r="M21" s="284">
        <f t="shared" ref="M21:AG21" ca="1" si="7">M10/MAX(M$5:M$14)</f>
        <v>0.26008639328487704</v>
      </c>
      <c r="N21" s="284">
        <f t="shared" ca="1" si="7"/>
        <v>8.5084747507348388E-2</v>
      </c>
      <c r="O21" s="284">
        <f t="shared" ca="1" si="7"/>
        <v>2.8305155614356568E-2</v>
      </c>
      <c r="P21" s="284">
        <f t="shared" ca="1" si="7"/>
        <v>9.4110549757640306E-3</v>
      </c>
      <c r="Q21" s="284">
        <f t="shared" ca="1" si="7"/>
        <v>3.1289096770096723E-3</v>
      </c>
      <c r="R21" s="284">
        <f t="shared" ca="1" si="7"/>
        <v>1.0402755999107407E-3</v>
      </c>
      <c r="S21" s="284">
        <f t="shared" ca="1" si="7"/>
        <v>3.4586279162392527E-4</v>
      </c>
      <c r="T21" s="284">
        <f t="shared" ca="1" si="7"/>
        <v>1.1498978744845401E-4</v>
      </c>
      <c r="U21" s="284">
        <f t="shared" ca="1" si="7"/>
        <v>3.8230915652912519E-5</v>
      </c>
      <c r="V21" s="284">
        <f t="shared" ca="1" si="7"/>
        <v>1.2710719309158741E-5</v>
      </c>
      <c r="W21" s="284">
        <f t="shared" ca="1" si="7"/>
        <v>4.2259617013388112E-6</v>
      </c>
      <c r="X21" s="284">
        <f t="shared" ca="1" si="7"/>
        <v>1.405015079541068E-6</v>
      </c>
      <c r="Y21" s="284">
        <f t="shared" ca="1" si="7"/>
        <v>4.6712855280074918E-7</v>
      </c>
      <c r="Z21" s="284">
        <f t="shared" ca="1" si="7"/>
        <v>1.5530729030538078E-7</v>
      </c>
      <c r="AA21" s="284">
        <f t="shared" ca="1" si="7"/>
        <v>5.1635367346701696E-8</v>
      </c>
      <c r="AB21" s="284">
        <f t="shared" ca="1" si="7"/>
        <v>1.7167327791156846E-8</v>
      </c>
      <c r="AC21" s="284">
        <f t="shared" ca="1" si="7"/>
        <v>5.707660439600839E-9</v>
      </c>
      <c r="AD21" s="284">
        <f t="shared" ca="1" si="7"/>
        <v>1.8976388224243934E-9</v>
      </c>
      <c r="AE21" s="284">
        <f t="shared" ca="1" si="7"/>
        <v>6.3091228682554107E-10</v>
      </c>
      <c r="AF21" s="284">
        <f t="shared" ca="1" si="7"/>
        <v>2.0976084013652875E-10</v>
      </c>
      <c r="AG21" s="284">
        <f t="shared" ca="1" si="7"/>
        <v>6.9739662665579178E-11</v>
      </c>
    </row>
    <row r="22" spans="2:33" x14ac:dyDescent="0.3">
      <c r="M22" s="284">
        <f t="shared" ref="M22:AG22" ca="1" si="8">M11/MAX(M$5:M$14)</f>
        <v>0.26008639328487704</v>
      </c>
      <c r="N22" s="284">
        <f t="shared" ca="1" si="8"/>
        <v>8.5084747507348388E-2</v>
      </c>
      <c r="O22" s="284">
        <f t="shared" ca="1" si="8"/>
        <v>2.8305155614356568E-2</v>
      </c>
      <c r="P22" s="284">
        <f t="shared" ca="1" si="8"/>
        <v>9.4110549757640306E-3</v>
      </c>
      <c r="Q22" s="284">
        <f t="shared" ca="1" si="8"/>
        <v>3.1289096770096723E-3</v>
      </c>
      <c r="R22" s="284">
        <f t="shared" ca="1" si="8"/>
        <v>1.0402755999107407E-3</v>
      </c>
      <c r="S22" s="284">
        <f t="shared" ca="1" si="8"/>
        <v>3.4586279162392527E-4</v>
      </c>
      <c r="T22" s="284">
        <f t="shared" ca="1" si="8"/>
        <v>1.1498978744845401E-4</v>
      </c>
      <c r="U22" s="284">
        <f t="shared" ca="1" si="8"/>
        <v>3.8230915652912519E-5</v>
      </c>
      <c r="V22" s="284">
        <f t="shared" ca="1" si="8"/>
        <v>1.2710719309158741E-5</v>
      </c>
      <c r="W22" s="284">
        <f t="shared" ca="1" si="8"/>
        <v>4.2259617013388112E-6</v>
      </c>
      <c r="X22" s="284">
        <f t="shared" ca="1" si="8"/>
        <v>1.405015079541068E-6</v>
      </c>
      <c r="Y22" s="284">
        <f t="shared" ca="1" si="8"/>
        <v>4.6712855280074918E-7</v>
      </c>
      <c r="Z22" s="284">
        <f t="shared" ca="1" si="8"/>
        <v>1.5530729030538078E-7</v>
      </c>
      <c r="AA22" s="284">
        <f t="shared" ca="1" si="8"/>
        <v>5.1635367346701696E-8</v>
      </c>
      <c r="AB22" s="284">
        <f t="shared" ca="1" si="8"/>
        <v>1.7167327791156846E-8</v>
      </c>
      <c r="AC22" s="284">
        <f t="shared" ca="1" si="8"/>
        <v>5.707660439600839E-9</v>
      </c>
      <c r="AD22" s="284">
        <f t="shared" ca="1" si="8"/>
        <v>1.8976388224243934E-9</v>
      </c>
      <c r="AE22" s="284">
        <f t="shared" ca="1" si="8"/>
        <v>6.3091228682554107E-10</v>
      </c>
      <c r="AF22" s="284">
        <f t="shared" ca="1" si="8"/>
        <v>2.0976084013652875E-10</v>
      </c>
      <c r="AG22" s="284">
        <f t="shared" ca="1" si="8"/>
        <v>6.9739662665579178E-11</v>
      </c>
    </row>
    <row r="23" spans="2:33" x14ac:dyDescent="0.3">
      <c r="B23" s="281"/>
      <c r="C23" s="286"/>
      <c r="J23" s="286"/>
      <c r="K23" s="286"/>
      <c r="M23" s="284">
        <f t="shared" ref="M23:AG23" ca="1" si="9">M12/MAX(M$5:M$14)</f>
        <v>0.26008639328487704</v>
      </c>
      <c r="N23" s="284">
        <f t="shared" ca="1" si="9"/>
        <v>8.5084747507348388E-2</v>
      </c>
      <c r="O23" s="284">
        <f t="shared" ca="1" si="9"/>
        <v>2.8305155614356568E-2</v>
      </c>
      <c r="P23" s="284">
        <f t="shared" ca="1" si="9"/>
        <v>9.4110549757640306E-3</v>
      </c>
      <c r="Q23" s="284">
        <f t="shared" ca="1" si="9"/>
        <v>3.1289096770096723E-3</v>
      </c>
      <c r="R23" s="284">
        <f t="shared" ca="1" si="9"/>
        <v>1.0402755999107407E-3</v>
      </c>
      <c r="S23" s="284">
        <f t="shared" ca="1" si="9"/>
        <v>3.4586279162392527E-4</v>
      </c>
      <c r="T23" s="284">
        <f t="shared" ca="1" si="9"/>
        <v>1.1498978744845401E-4</v>
      </c>
      <c r="U23" s="284">
        <f t="shared" ca="1" si="9"/>
        <v>3.8230915652912519E-5</v>
      </c>
      <c r="V23" s="284">
        <f t="shared" ca="1" si="9"/>
        <v>1.2710719309158741E-5</v>
      </c>
      <c r="W23" s="284">
        <f t="shared" ca="1" si="9"/>
        <v>4.2259617013388112E-6</v>
      </c>
      <c r="X23" s="284">
        <f t="shared" ca="1" si="9"/>
        <v>1.405015079541068E-6</v>
      </c>
      <c r="Y23" s="284">
        <f t="shared" ca="1" si="9"/>
        <v>4.6712855280074918E-7</v>
      </c>
      <c r="Z23" s="284">
        <f t="shared" ca="1" si="9"/>
        <v>1.5530729030538078E-7</v>
      </c>
      <c r="AA23" s="284">
        <f t="shared" ca="1" si="9"/>
        <v>5.1635367346701696E-8</v>
      </c>
      <c r="AB23" s="284">
        <f t="shared" ca="1" si="9"/>
        <v>1.7167327791156846E-8</v>
      </c>
      <c r="AC23" s="284">
        <f t="shared" ca="1" si="9"/>
        <v>5.707660439600839E-9</v>
      </c>
      <c r="AD23" s="284">
        <f t="shared" ca="1" si="9"/>
        <v>1.8976388224243934E-9</v>
      </c>
      <c r="AE23" s="284">
        <f t="shared" ca="1" si="9"/>
        <v>6.3091228682554107E-10</v>
      </c>
      <c r="AF23" s="284">
        <f t="shared" ca="1" si="9"/>
        <v>2.0976084013652875E-10</v>
      </c>
      <c r="AG23" s="284">
        <f t="shared" ca="1" si="9"/>
        <v>6.9739662665579178E-11</v>
      </c>
    </row>
    <row r="24" spans="2:33" x14ac:dyDescent="0.3">
      <c r="H24" s="281"/>
      <c r="I24" s="286"/>
      <c r="J24" s="286"/>
      <c r="K24" s="286"/>
      <c r="M24" s="284">
        <f t="shared" ref="M24:AG24" ca="1" si="10">M13/MAX(M$5:M$14)</f>
        <v>0.26008639328487704</v>
      </c>
      <c r="N24" s="284">
        <f t="shared" ca="1" si="10"/>
        <v>8.5084747507348388E-2</v>
      </c>
      <c r="O24" s="284">
        <f t="shared" ca="1" si="10"/>
        <v>2.8305155614356568E-2</v>
      </c>
      <c r="P24" s="284">
        <f t="shared" ca="1" si="10"/>
        <v>9.4110549757640306E-3</v>
      </c>
      <c r="Q24" s="284">
        <f t="shared" ca="1" si="10"/>
        <v>3.1289096770096723E-3</v>
      </c>
      <c r="R24" s="284">
        <f t="shared" ca="1" si="10"/>
        <v>1.0402755999107407E-3</v>
      </c>
      <c r="S24" s="284">
        <f t="shared" ca="1" si="10"/>
        <v>3.4586279162392527E-4</v>
      </c>
      <c r="T24" s="284">
        <f t="shared" ca="1" si="10"/>
        <v>1.1498978744845401E-4</v>
      </c>
      <c r="U24" s="284">
        <f t="shared" ca="1" si="10"/>
        <v>3.8230915652912519E-5</v>
      </c>
      <c r="V24" s="284">
        <f t="shared" ca="1" si="10"/>
        <v>1.2710719309158741E-5</v>
      </c>
      <c r="W24" s="284">
        <f t="shared" ca="1" si="10"/>
        <v>4.2259617013388112E-6</v>
      </c>
      <c r="X24" s="284">
        <f t="shared" ca="1" si="10"/>
        <v>1.405015079541068E-6</v>
      </c>
      <c r="Y24" s="284">
        <f t="shared" ca="1" si="10"/>
        <v>4.6712855280074918E-7</v>
      </c>
      <c r="Z24" s="284">
        <f t="shared" ca="1" si="10"/>
        <v>1.5530729030538078E-7</v>
      </c>
      <c r="AA24" s="284">
        <f t="shared" ca="1" si="10"/>
        <v>5.1635367346701696E-8</v>
      </c>
      <c r="AB24" s="284">
        <f t="shared" ca="1" si="10"/>
        <v>1.7167327791156846E-8</v>
      </c>
      <c r="AC24" s="284">
        <f t="shared" ca="1" si="10"/>
        <v>5.707660439600839E-9</v>
      </c>
      <c r="AD24" s="284">
        <f t="shared" ca="1" si="10"/>
        <v>1.8976388224243934E-9</v>
      </c>
      <c r="AE24" s="284">
        <f t="shared" ca="1" si="10"/>
        <v>6.3091228682554107E-10</v>
      </c>
      <c r="AF24" s="284">
        <f t="shared" ca="1" si="10"/>
        <v>2.0976084013652875E-10</v>
      </c>
      <c r="AG24" s="284">
        <f t="shared" ca="1" si="10"/>
        <v>6.9739662665579178E-11</v>
      </c>
    </row>
    <row r="25" spans="2:33" x14ac:dyDescent="0.3">
      <c r="H25" s="281"/>
      <c r="I25" s="286"/>
      <c r="J25" s="286"/>
      <c r="K25" s="286"/>
      <c r="M25" s="284">
        <f t="shared" ref="M25:AG25" ca="1" si="11">M14/MAX(M$5:M$14)</f>
        <v>0.26008639328487704</v>
      </c>
      <c r="N25" s="284">
        <f t="shared" ca="1" si="11"/>
        <v>8.5084747507348388E-2</v>
      </c>
      <c r="O25" s="284">
        <f t="shared" ca="1" si="11"/>
        <v>2.8305155614356568E-2</v>
      </c>
      <c r="P25" s="284">
        <f t="shared" ca="1" si="11"/>
        <v>9.4110549757640306E-3</v>
      </c>
      <c r="Q25" s="284">
        <f t="shared" ca="1" si="11"/>
        <v>3.1289096770096723E-3</v>
      </c>
      <c r="R25" s="284">
        <f t="shared" ca="1" si="11"/>
        <v>1.0402755999107407E-3</v>
      </c>
      <c r="S25" s="284">
        <f t="shared" ca="1" si="11"/>
        <v>3.4586279162392527E-4</v>
      </c>
      <c r="T25" s="284">
        <f t="shared" ca="1" si="11"/>
        <v>1.1498978744845401E-4</v>
      </c>
      <c r="U25" s="284">
        <f t="shared" ca="1" si="11"/>
        <v>3.8230915652912519E-5</v>
      </c>
      <c r="V25" s="284">
        <f t="shared" ca="1" si="11"/>
        <v>1.2710719309158741E-5</v>
      </c>
      <c r="W25" s="284">
        <f t="shared" ca="1" si="11"/>
        <v>4.2259617013388112E-6</v>
      </c>
      <c r="X25" s="284">
        <f t="shared" ca="1" si="11"/>
        <v>1.405015079541068E-6</v>
      </c>
      <c r="Y25" s="284">
        <f t="shared" ca="1" si="11"/>
        <v>4.6712855280074918E-7</v>
      </c>
      <c r="Z25" s="284">
        <f t="shared" ca="1" si="11"/>
        <v>1.5530729030538078E-7</v>
      </c>
      <c r="AA25" s="284">
        <f t="shared" ca="1" si="11"/>
        <v>5.1635367346701696E-8</v>
      </c>
      <c r="AB25" s="284">
        <f t="shared" ca="1" si="11"/>
        <v>1.7167327791156846E-8</v>
      </c>
      <c r="AC25" s="284">
        <f t="shared" ca="1" si="11"/>
        <v>5.707660439600839E-9</v>
      </c>
      <c r="AD25" s="284">
        <f t="shared" ca="1" si="11"/>
        <v>1.8976388224243934E-9</v>
      </c>
      <c r="AE25" s="284">
        <f t="shared" ca="1" si="11"/>
        <v>6.3091228682554107E-10</v>
      </c>
      <c r="AF25" s="284">
        <f t="shared" ca="1" si="11"/>
        <v>2.0976084013652875E-10</v>
      </c>
      <c r="AG25" s="284">
        <f t="shared" ca="1" si="11"/>
        <v>6.9739662665579178E-11</v>
      </c>
    </row>
    <row r="26" spans="2:33" x14ac:dyDescent="0.3">
      <c r="M26" s="284">
        <f t="shared" ref="M26:AG26" ca="1" si="12">SUM(M16:M25)</f>
        <v>4.3250738655373242</v>
      </c>
      <c r="N26" s="284">
        <f t="shared" ca="1" si="12"/>
        <v>3.0607306959185858</v>
      </c>
      <c r="O26" s="284">
        <f t="shared" ca="1" si="12"/>
        <v>2.6643376903439204</v>
      </c>
      <c r="P26" s="284">
        <f t="shared" ca="1" si="12"/>
        <v>2.5321763145895249</v>
      </c>
      <c r="Q26" s="284">
        <f t="shared" ca="1" si="12"/>
        <v>2.48819829530908</v>
      </c>
      <c r="R26" s="284">
        <f t="shared" ca="1" si="12"/>
        <v>2.4735776130967295</v>
      </c>
      <c r="S26" s="284">
        <f t="shared" ca="1" si="12"/>
        <v>2.4687167318233856</v>
      </c>
      <c r="T26" s="284">
        <f t="shared" ca="1" si="12"/>
        <v>2.4671006214019515</v>
      </c>
      <c r="U26" s="284">
        <f t="shared" ca="1" si="12"/>
        <v>2.466563309276153</v>
      </c>
      <c r="V26" s="284">
        <f t="shared" ca="1" si="12"/>
        <v>2.466384667900237</v>
      </c>
      <c r="W26" s="284">
        <f t="shared" ca="1" si="12"/>
        <v>2.4663252745970476</v>
      </c>
      <c r="X26" s="284">
        <f t="shared" ca="1" si="12"/>
        <v>2.4663055279706967</v>
      </c>
      <c r="Y26" s="284">
        <f t="shared" ca="1" si="12"/>
        <v>2.46629896276501</v>
      </c>
      <c r="Z26" s="284">
        <f t="shared" ca="1" si="12"/>
        <v>2.4662967800161719</v>
      </c>
      <c r="AA26" s="284">
        <f t="shared" ca="1" si="12"/>
        <v>2.4662960543127133</v>
      </c>
      <c r="AB26" s="284">
        <f t="shared" ca="1" si="12"/>
        <v>2.4662958130364365</v>
      </c>
      <c r="AC26" s="284">
        <f t="shared" ca="1" si="12"/>
        <v>2.4662957328187645</v>
      </c>
      <c r="AD26" s="284">
        <f t="shared" ca="1" si="12"/>
        <v>2.466295706148613</v>
      </c>
      <c r="AE26" s="284">
        <f t="shared" ca="1" si="12"/>
        <v>2.466295697281526</v>
      </c>
      <c r="AF26" s="284">
        <f t="shared" ca="1" si="12"/>
        <v>2.4662956943334651</v>
      </c>
      <c r="AG26" s="284">
        <f t="shared" ca="1" si="12"/>
        <v>2.4662956933533189</v>
      </c>
    </row>
    <row r="27" spans="2:33" x14ac:dyDescent="0.3">
      <c r="M27" s="281" t="s">
        <v>138</v>
      </c>
    </row>
    <row r="28" spans="2:33" x14ac:dyDescent="0.3">
      <c r="B28" s="283">
        <f t="array" ref="B28:K37" ca="1">IF(B5:K14*B15:K15&gt;0,B5:K14/B15:K15,)</f>
        <v>0.36204310976664533</v>
      </c>
      <c r="C28" s="284">
        <f ca="1"/>
        <v>0.4027247577101582</v>
      </c>
      <c r="D28" s="284">
        <f ca="1"/>
        <v>0.34108206876643948</v>
      </c>
      <c r="E28" s="284">
        <v>0</v>
      </c>
      <c r="F28" s="284">
        <v>0</v>
      </c>
      <c r="G28" s="284">
        <v>0</v>
      </c>
      <c r="H28" s="284">
        <v>0</v>
      </c>
      <c r="I28" s="284">
        <v>0</v>
      </c>
      <c r="J28" s="284">
        <v>0</v>
      </c>
      <c r="K28" s="284">
        <v>0</v>
      </c>
      <c r="M28" s="288">
        <f t="shared" ref="M28:AG28" ca="1" si="13">M16/M$26</f>
        <v>0.21739577806080054</v>
      </c>
      <c r="N28" s="288">
        <f t="shared" ca="1" si="13"/>
        <v>0.29698312573725699</v>
      </c>
      <c r="O28" s="288">
        <f t="shared" ca="1" si="13"/>
        <v>0.3412354413233244</v>
      </c>
      <c r="P28" s="288">
        <f t="shared" ca="1" si="13"/>
        <v>0.35907669883608945</v>
      </c>
      <c r="Q28" s="288">
        <f t="shared" ca="1" si="13"/>
        <v>0.36542298144159041</v>
      </c>
      <c r="R28" s="288">
        <f t="shared" ca="1" si="13"/>
        <v>0.36758282099850087</v>
      </c>
      <c r="S28" s="288">
        <f t="shared" ca="1" si="13"/>
        <v>0.36830658921705595</v>
      </c>
      <c r="T28" s="288">
        <f t="shared" ca="1" si="13"/>
        <v>0.36854785405612805</v>
      </c>
      <c r="U28" s="288">
        <f t="shared" ca="1" si="13"/>
        <v>0.36862813791626731</v>
      </c>
      <c r="V28" s="288">
        <f t="shared" ca="1" si="13"/>
        <v>0.36865483782131392</v>
      </c>
      <c r="W28" s="288">
        <f t="shared" ca="1" si="13"/>
        <v>0.36866371565620543</v>
      </c>
      <c r="X28" s="288">
        <f t="shared" ca="1" si="13"/>
        <v>0.36866666738483883</v>
      </c>
      <c r="Y28" s="289">
        <f t="shared" ca="1" si="13"/>
        <v>0.36866764876322716</v>
      </c>
      <c r="Z28" s="289">
        <f t="shared" ca="1" si="13"/>
        <v>0.36866797504548499</v>
      </c>
      <c r="AA28" s="289">
        <f t="shared" ca="1" si="13"/>
        <v>0.36866808352541541</v>
      </c>
      <c r="AB28" s="289">
        <f t="shared" ca="1" si="13"/>
        <v>0.36866811959199841</v>
      </c>
      <c r="AC28" s="289">
        <f t="shared" ca="1" si="13"/>
        <v>0.36866813158313877</v>
      </c>
      <c r="AD28" s="289">
        <f t="shared" ca="1" si="13"/>
        <v>0.36866813556986056</v>
      </c>
      <c r="AE28" s="289">
        <f t="shared" ca="1" si="13"/>
        <v>0.36866813689533523</v>
      </c>
      <c r="AF28" s="289">
        <f t="shared" ca="1" si="13"/>
        <v>0.36866813733601883</v>
      </c>
      <c r="AG28" s="290">
        <f t="shared" ca="1" si="13"/>
        <v>0.36866813748253358</v>
      </c>
    </row>
    <row r="29" spans="2:33" x14ac:dyDescent="0.3">
      <c r="B29" s="284">
        <f ca="1"/>
        <v>0.20309806493801549</v>
      </c>
      <c r="C29" s="283">
        <f ca="1"/>
        <v>0.22591955705574299</v>
      </c>
      <c r="D29" s="284">
        <f ca="1"/>
        <v>0.24923592444525519</v>
      </c>
      <c r="E29" s="284">
        <v>0</v>
      </c>
      <c r="F29" s="284">
        <v>0</v>
      </c>
      <c r="G29" s="284">
        <v>0</v>
      </c>
      <c r="H29" s="284">
        <v>0</v>
      </c>
      <c r="I29" s="284">
        <v>0</v>
      </c>
      <c r="J29" s="284">
        <v>0</v>
      </c>
      <c r="K29" s="284">
        <v>0</v>
      </c>
      <c r="M29" s="288">
        <f t="shared" ref="M29:AG29" ca="1" si="14">M17/M$26</f>
        <v>0.13045241119926385</v>
      </c>
      <c r="N29" s="288">
        <f t="shared" ca="1" si="14"/>
        <v>0.18170566100274457</v>
      </c>
      <c r="O29" s="288">
        <f t="shared" ca="1" si="14"/>
        <v>0.20907077787600059</v>
      </c>
      <c r="P29" s="288">
        <f t="shared" ca="1" si="14"/>
        <v>0.21998998041166634</v>
      </c>
      <c r="Q29" s="288">
        <f t="shared" ca="1" si="14"/>
        <v>0.22387728869137047</v>
      </c>
      <c r="R29" s="288">
        <f t="shared" ca="1" si="14"/>
        <v>0.22520055322587423</v>
      </c>
      <c r="S29" s="288">
        <f t="shared" ca="1" si="14"/>
        <v>0.22564397359175134</v>
      </c>
      <c r="T29" s="288">
        <f t="shared" ca="1" si="14"/>
        <v>0.22579178502052114</v>
      </c>
      <c r="U29" s="288">
        <f t="shared" ca="1" si="14"/>
        <v>0.22584097112796311</v>
      </c>
      <c r="V29" s="288">
        <f t="shared" ca="1" si="14"/>
        <v>0.2258573288933001</v>
      </c>
      <c r="W29" s="288">
        <f t="shared" ca="1" si="14"/>
        <v>0.22586276792155505</v>
      </c>
      <c r="X29" s="288">
        <f t="shared" ca="1" si="14"/>
        <v>0.22586457630564796</v>
      </c>
      <c r="Y29" s="289">
        <f t="shared" ca="1" si="14"/>
        <v>0.22586517754962651</v>
      </c>
      <c r="Z29" s="289">
        <f t="shared" ca="1" si="14"/>
        <v>0.22586537744728599</v>
      </c>
      <c r="AA29" s="289">
        <f t="shared" ca="1" si="14"/>
        <v>0.22586544390779276</v>
      </c>
      <c r="AB29" s="289">
        <f t="shared" ca="1" si="14"/>
        <v>0.225865466004077</v>
      </c>
      <c r="AC29" s="289">
        <f t="shared" ca="1" si="14"/>
        <v>0.22586547335047982</v>
      </c>
      <c r="AD29" s="289">
        <f t="shared" ca="1" si="14"/>
        <v>0.22586547579295513</v>
      </c>
      <c r="AE29" s="289">
        <f t="shared" ca="1" si="14"/>
        <v>0.22586547660501058</v>
      </c>
      <c r="AF29" s="289">
        <f t="shared" ca="1" si="14"/>
        <v>0.2258654768749965</v>
      </c>
      <c r="AG29" s="291">
        <f t="shared" ca="1" si="14"/>
        <v>0.22586547696475914</v>
      </c>
    </row>
    <row r="30" spans="2:33" x14ac:dyDescent="0.3">
      <c r="B30" s="284">
        <f ca="1"/>
        <v>0.43485882529533909</v>
      </c>
      <c r="C30" s="284">
        <f ca="1"/>
        <v>0.37135568523409879</v>
      </c>
      <c r="D30" s="283">
        <f ca="1"/>
        <v>0.40968200678830524</v>
      </c>
      <c r="E30" s="284">
        <v>0</v>
      </c>
      <c r="F30" s="284">
        <v>0</v>
      </c>
      <c r="G30" s="284">
        <v>0</v>
      </c>
      <c r="H30" s="284">
        <v>0</v>
      </c>
      <c r="I30" s="284">
        <v>0</v>
      </c>
      <c r="J30" s="284">
        <v>0</v>
      </c>
      <c r="K30" s="284">
        <v>0</v>
      </c>
      <c r="M30" s="288">
        <f t="shared" ref="M30:AG30" ca="1" si="15">M18/M$26</f>
        <v>0.23120992405889587</v>
      </c>
      <c r="N30" s="288">
        <f t="shared" ca="1" si="15"/>
        <v>0.32671936846109234</v>
      </c>
      <c r="O30" s="288">
        <f t="shared" ca="1" si="15"/>
        <v>0.37532779858356358</v>
      </c>
      <c r="P30" s="288">
        <f t="shared" ca="1" si="15"/>
        <v>0.39491720787306378</v>
      </c>
      <c r="Q30" s="288">
        <f t="shared" ca="1" si="15"/>
        <v>0.40189722896493729</v>
      </c>
      <c r="R30" s="288">
        <f t="shared" ca="1" si="15"/>
        <v>0.40427274030349775</v>
      </c>
      <c r="S30" s="288">
        <f t="shared" ca="1" si="15"/>
        <v>0.40506874973112184</v>
      </c>
      <c r="T30" s="288">
        <f t="shared" ca="1" si="15"/>
        <v>0.40533409595257663</v>
      </c>
      <c r="U30" s="288">
        <f t="shared" ca="1" si="15"/>
        <v>0.40542239327052337</v>
      </c>
      <c r="V30" s="288">
        <f t="shared" ca="1" si="15"/>
        <v>0.40545175820094298</v>
      </c>
      <c r="W30" s="288">
        <f t="shared" ca="1" si="15"/>
        <v>0.40546152216819076</v>
      </c>
      <c r="X30" s="288">
        <f t="shared" ca="1" si="15"/>
        <v>0.40546476852071567</v>
      </c>
      <c r="Y30" s="289">
        <f t="shared" ca="1" si="15"/>
        <v>0.40546584785442347</v>
      </c>
      <c r="Z30" s="289">
        <f t="shared" ca="1" si="15"/>
        <v>0.40546620670422429</v>
      </c>
      <c r="AA30" s="289">
        <f t="shared" ca="1" si="15"/>
        <v>0.40546632601197247</v>
      </c>
      <c r="AB30" s="289">
        <f t="shared" ca="1" si="15"/>
        <v>0.40546636567850597</v>
      </c>
      <c r="AC30" s="289">
        <f t="shared" ca="1" si="15"/>
        <v>0.40546637886653025</v>
      </c>
      <c r="AD30" s="289">
        <f t="shared" ca="1" si="15"/>
        <v>0.40546638325118278</v>
      </c>
      <c r="AE30" s="289">
        <f t="shared" ca="1" si="15"/>
        <v>0.40546638470895841</v>
      </c>
      <c r="AF30" s="289">
        <f t="shared" ca="1" si="15"/>
        <v>0.40546638519362843</v>
      </c>
      <c r="AG30" s="291">
        <f t="shared" ca="1" si="15"/>
        <v>0.40546638535476737</v>
      </c>
    </row>
    <row r="31" spans="2:33" x14ac:dyDescent="0.3">
      <c r="B31" s="284">
        <f ca="1"/>
        <v>0</v>
      </c>
      <c r="C31" s="284">
        <f ca="1"/>
        <v>0</v>
      </c>
      <c r="D31" s="284">
        <f ca="1"/>
        <v>0</v>
      </c>
      <c r="E31" s="283">
        <v>0</v>
      </c>
      <c r="F31" s="284">
        <v>0</v>
      </c>
      <c r="G31" s="284">
        <v>0</v>
      </c>
      <c r="H31" s="284">
        <v>0</v>
      </c>
      <c r="I31" s="284">
        <v>0</v>
      </c>
      <c r="J31" s="284">
        <v>0</v>
      </c>
      <c r="K31" s="284">
        <v>0</v>
      </c>
      <c r="M31" s="288">
        <f t="shared" ref="M31:AG31" ca="1" si="16">M19/M$26</f>
        <v>6.0134555240148546E-2</v>
      </c>
      <c r="N31" s="288">
        <f t="shared" ca="1" si="16"/>
        <v>2.7798834971272366E-2</v>
      </c>
      <c r="O31" s="288">
        <f t="shared" ca="1" si="16"/>
        <v>1.0623711745301646E-2</v>
      </c>
      <c r="P31" s="288">
        <f t="shared" ca="1" si="16"/>
        <v>3.716587554168635E-3</v>
      </c>
      <c r="Q31" s="288">
        <f t="shared" ca="1" si="16"/>
        <v>1.2575001288717643E-3</v>
      </c>
      <c r="R31" s="288">
        <f t="shared" ca="1" si="16"/>
        <v>4.2055506744678018E-4</v>
      </c>
      <c r="S31" s="288">
        <f t="shared" ca="1" si="16"/>
        <v>1.4009820858161892E-4</v>
      </c>
      <c r="T31" s="288">
        <f t="shared" ca="1" si="16"/>
        <v>4.6609281539198049E-5</v>
      </c>
      <c r="U31" s="288">
        <f t="shared" ca="1" si="16"/>
        <v>1.5499669320927308E-5</v>
      </c>
      <c r="V31" s="288">
        <f t="shared" ca="1" si="16"/>
        <v>5.1535834918970871E-6</v>
      </c>
      <c r="W31" s="288">
        <f t="shared" ca="1" si="16"/>
        <v>1.7134648640493115E-6</v>
      </c>
      <c r="X31" s="288">
        <f t="shared" ca="1" si="16"/>
        <v>5.6968411399423403E-7</v>
      </c>
      <c r="Y31" s="289">
        <f t="shared" ca="1" si="16"/>
        <v>1.894046747183656E-7</v>
      </c>
      <c r="Z31" s="289">
        <f t="shared" ca="1" si="16"/>
        <v>6.2971857873634494E-8</v>
      </c>
      <c r="AA31" s="289">
        <f t="shared" ca="1" si="16"/>
        <v>2.0936402690345708E-8</v>
      </c>
      <c r="AB31" s="289">
        <f t="shared" ca="1" si="16"/>
        <v>6.9607740078919807E-9</v>
      </c>
      <c r="AC31" s="289">
        <f t="shared" ca="1" si="16"/>
        <v>2.3142644102447005E-9</v>
      </c>
      <c r="AD31" s="289">
        <f t="shared" ca="1" si="16"/>
        <v>7.6942875004545224E-10</v>
      </c>
      <c r="AE31" s="289">
        <f t="shared" ca="1" si="16"/>
        <v>2.5581372400761355E-10</v>
      </c>
      <c r="AF31" s="289">
        <f t="shared" ca="1" si="16"/>
        <v>8.5050969605336876E-11</v>
      </c>
      <c r="AG31" s="291">
        <f t="shared" ca="1" si="16"/>
        <v>2.8277088936873212E-11</v>
      </c>
    </row>
    <row r="32" spans="2:33" x14ac:dyDescent="0.3">
      <c r="B32" s="284">
        <f ca="1"/>
        <v>0</v>
      </c>
      <c r="C32" s="284">
        <f ca="1"/>
        <v>0</v>
      </c>
      <c r="D32" s="284">
        <f ca="1"/>
        <v>0</v>
      </c>
      <c r="E32" s="284">
        <v>0</v>
      </c>
      <c r="F32" s="283">
        <v>0</v>
      </c>
      <c r="G32" s="284">
        <v>0</v>
      </c>
      <c r="H32" s="284">
        <v>0</v>
      </c>
      <c r="I32" s="284">
        <v>0</v>
      </c>
      <c r="J32" s="284">
        <v>0</v>
      </c>
      <c r="K32" s="284">
        <v>0</v>
      </c>
      <c r="M32" s="288">
        <f t="shared" ref="M32:AG32" ca="1" si="17">M20/M$26</f>
        <v>6.0134555240148546E-2</v>
      </c>
      <c r="N32" s="288">
        <f t="shared" ca="1" si="17"/>
        <v>2.7798834971272366E-2</v>
      </c>
      <c r="O32" s="288">
        <f t="shared" ca="1" si="17"/>
        <v>1.0623711745301646E-2</v>
      </c>
      <c r="P32" s="288">
        <f t="shared" ca="1" si="17"/>
        <v>3.716587554168635E-3</v>
      </c>
      <c r="Q32" s="288">
        <f t="shared" ca="1" si="17"/>
        <v>1.2575001288717643E-3</v>
      </c>
      <c r="R32" s="288">
        <f t="shared" ca="1" si="17"/>
        <v>4.2055506744678018E-4</v>
      </c>
      <c r="S32" s="288">
        <f t="shared" ca="1" si="17"/>
        <v>1.4009820858161892E-4</v>
      </c>
      <c r="T32" s="288">
        <f t="shared" ca="1" si="17"/>
        <v>4.6609281539198049E-5</v>
      </c>
      <c r="U32" s="288">
        <f t="shared" ca="1" si="17"/>
        <v>1.5499669320927308E-5</v>
      </c>
      <c r="V32" s="288">
        <f t="shared" ca="1" si="17"/>
        <v>5.1535834918970871E-6</v>
      </c>
      <c r="W32" s="288">
        <f t="shared" ca="1" si="17"/>
        <v>1.7134648640493115E-6</v>
      </c>
      <c r="X32" s="288">
        <f t="shared" ca="1" si="17"/>
        <v>5.6968411399423403E-7</v>
      </c>
      <c r="Y32" s="289">
        <f t="shared" ca="1" si="17"/>
        <v>1.894046747183656E-7</v>
      </c>
      <c r="Z32" s="289">
        <f t="shared" ca="1" si="17"/>
        <v>6.2971857873634494E-8</v>
      </c>
      <c r="AA32" s="289">
        <f t="shared" ca="1" si="17"/>
        <v>2.0936402690345708E-8</v>
      </c>
      <c r="AB32" s="289">
        <f t="shared" ca="1" si="17"/>
        <v>6.9607740078919807E-9</v>
      </c>
      <c r="AC32" s="289">
        <f t="shared" ca="1" si="17"/>
        <v>2.3142644102447005E-9</v>
      </c>
      <c r="AD32" s="289">
        <f t="shared" ca="1" si="17"/>
        <v>7.6942875004545224E-10</v>
      </c>
      <c r="AE32" s="289">
        <f t="shared" ca="1" si="17"/>
        <v>2.5581372400761355E-10</v>
      </c>
      <c r="AF32" s="289">
        <f t="shared" ca="1" si="17"/>
        <v>8.5050969605336876E-11</v>
      </c>
      <c r="AG32" s="291">
        <f t="shared" ca="1" si="17"/>
        <v>2.8277088936873212E-11</v>
      </c>
    </row>
    <row r="33" spans="1:33" x14ac:dyDescent="0.3">
      <c r="B33" s="284">
        <f ca="1"/>
        <v>0</v>
      </c>
      <c r="C33" s="284">
        <f ca="1"/>
        <v>0</v>
      </c>
      <c r="D33" s="284">
        <f ca="1"/>
        <v>0</v>
      </c>
      <c r="E33" s="284">
        <v>0</v>
      </c>
      <c r="F33" s="284">
        <v>0</v>
      </c>
      <c r="G33" s="283">
        <v>0</v>
      </c>
      <c r="H33" s="284">
        <v>0</v>
      </c>
      <c r="I33" s="284">
        <v>0</v>
      </c>
      <c r="J33" s="284">
        <v>0</v>
      </c>
      <c r="K33" s="284">
        <v>0</v>
      </c>
      <c r="M33" s="288">
        <f t="shared" ref="M33:AG33" ca="1" si="18">M21/M$26</f>
        <v>6.0134555240148546E-2</v>
      </c>
      <c r="N33" s="288">
        <f t="shared" ca="1" si="18"/>
        <v>2.7798834971272366E-2</v>
      </c>
      <c r="O33" s="288">
        <f t="shared" ca="1" si="18"/>
        <v>1.0623711745301646E-2</v>
      </c>
      <c r="P33" s="288">
        <f t="shared" ca="1" si="18"/>
        <v>3.716587554168635E-3</v>
      </c>
      <c r="Q33" s="288">
        <f t="shared" ca="1" si="18"/>
        <v>1.2575001288717643E-3</v>
      </c>
      <c r="R33" s="288">
        <f t="shared" ca="1" si="18"/>
        <v>4.2055506744678018E-4</v>
      </c>
      <c r="S33" s="288">
        <f t="shared" ca="1" si="18"/>
        <v>1.4009820858161892E-4</v>
      </c>
      <c r="T33" s="288">
        <f t="shared" ca="1" si="18"/>
        <v>4.6609281539198049E-5</v>
      </c>
      <c r="U33" s="288">
        <f t="shared" ca="1" si="18"/>
        <v>1.5499669320927308E-5</v>
      </c>
      <c r="V33" s="288">
        <f t="shared" ca="1" si="18"/>
        <v>5.1535834918970871E-6</v>
      </c>
      <c r="W33" s="288">
        <f t="shared" ca="1" si="18"/>
        <v>1.7134648640493115E-6</v>
      </c>
      <c r="X33" s="288">
        <f t="shared" ca="1" si="18"/>
        <v>5.6968411399423403E-7</v>
      </c>
      <c r="Y33" s="289">
        <f t="shared" ca="1" si="18"/>
        <v>1.894046747183656E-7</v>
      </c>
      <c r="Z33" s="289">
        <f t="shared" ca="1" si="18"/>
        <v>6.2971857873634494E-8</v>
      </c>
      <c r="AA33" s="289">
        <f t="shared" ca="1" si="18"/>
        <v>2.0936402690345708E-8</v>
      </c>
      <c r="AB33" s="289">
        <f t="shared" ca="1" si="18"/>
        <v>6.9607740078919807E-9</v>
      </c>
      <c r="AC33" s="289">
        <f t="shared" ca="1" si="18"/>
        <v>2.3142644102447005E-9</v>
      </c>
      <c r="AD33" s="289">
        <f t="shared" ca="1" si="18"/>
        <v>7.6942875004545224E-10</v>
      </c>
      <c r="AE33" s="289">
        <f t="shared" ca="1" si="18"/>
        <v>2.5581372400761355E-10</v>
      </c>
      <c r="AF33" s="289">
        <f t="shared" ca="1" si="18"/>
        <v>8.5050969605336876E-11</v>
      </c>
      <c r="AG33" s="291">
        <f t="shared" ca="1" si="18"/>
        <v>2.8277088936873212E-11</v>
      </c>
    </row>
    <row r="34" spans="1:33" x14ac:dyDescent="0.3">
      <c r="B34" s="284">
        <f ca="1"/>
        <v>0</v>
      </c>
      <c r="C34" s="284">
        <f ca="1"/>
        <v>0</v>
      </c>
      <c r="D34" s="284">
        <f ca="1"/>
        <v>0</v>
      </c>
      <c r="E34" s="284">
        <v>0</v>
      </c>
      <c r="F34" s="284">
        <v>0</v>
      </c>
      <c r="G34" s="284">
        <v>0</v>
      </c>
      <c r="H34" s="283">
        <v>0</v>
      </c>
      <c r="I34" s="284">
        <v>0</v>
      </c>
      <c r="J34" s="284">
        <v>0</v>
      </c>
      <c r="K34" s="284">
        <v>0</v>
      </c>
      <c r="M34" s="288">
        <f t="shared" ref="M34:AG34" ca="1" si="19">M22/M$26</f>
        <v>6.0134555240148546E-2</v>
      </c>
      <c r="N34" s="288">
        <f t="shared" ca="1" si="19"/>
        <v>2.7798834971272366E-2</v>
      </c>
      <c r="O34" s="288">
        <f t="shared" ca="1" si="19"/>
        <v>1.0623711745301646E-2</v>
      </c>
      <c r="P34" s="288">
        <f t="shared" ca="1" si="19"/>
        <v>3.716587554168635E-3</v>
      </c>
      <c r="Q34" s="288">
        <f t="shared" ca="1" si="19"/>
        <v>1.2575001288717643E-3</v>
      </c>
      <c r="R34" s="288">
        <f t="shared" ca="1" si="19"/>
        <v>4.2055506744678018E-4</v>
      </c>
      <c r="S34" s="288">
        <f t="shared" ca="1" si="19"/>
        <v>1.4009820858161892E-4</v>
      </c>
      <c r="T34" s="288">
        <f t="shared" ca="1" si="19"/>
        <v>4.6609281539198049E-5</v>
      </c>
      <c r="U34" s="288">
        <f t="shared" ca="1" si="19"/>
        <v>1.5499669320927308E-5</v>
      </c>
      <c r="V34" s="288">
        <f t="shared" ca="1" si="19"/>
        <v>5.1535834918970871E-6</v>
      </c>
      <c r="W34" s="288">
        <f t="shared" ca="1" si="19"/>
        <v>1.7134648640493115E-6</v>
      </c>
      <c r="X34" s="288">
        <f t="shared" ca="1" si="19"/>
        <v>5.6968411399423403E-7</v>
      </c>
      <c r="Y34" s="289">
        <f t="shared" ca="1" si="19"/>
        <v>1.894046747183656E-7</v>
      </c>
      <c r="Z34" s="289">
        <f t="shared" ca="1" si="19"/>
        <v>6.2971857873634494E-8</v>
      </c>
      <c r="AA34" s="289">
        <f t="shared" ca="1" si="19"/>
        <v>2.0936402690345708E-8</v>
      </c>
      <c r="AB34" s="289">
        <f t="shared" ca="1" si="19"/>
        <v>6.9607740078919807E-9</v>
      </c>
      <c r="AC34" s="289">
        <f t="shared" ca="1" si="19"/>
        <v>2.3142644102447005E-9</v>
      </c>
      <c r="AD34" s="289">
        <f t="shared" ca="1" si="19"/>
        <v>7.6942875004545224E-10</v>
      </c>
      <c r="AE34" s="289">
        <f t="shared" ca="1" si="19"/>
        <v>2.5581372400761355E-10</v>
      </c>
      <c r="AF34" s="289">
        <f t="shared" ca="1" si="19"/>
        <v>8.5050969605336876E-11</v>
      </c>
      <c r="AG34" s="291">
        <f t="shared" ca="1" si="19"/>
        <v>2.8277088936873212E-11</v>
      </c>
    </row>
    <row r="35" spans="1:33" x14ac:dyDescent="0.3">
      <c r="B35" s="284">
        <f ca="1"/>
        <v>0</v>
      </c>
      <c r="C35" s="284">
        <f ca="1"/>
        <v>0</v>
      </c>
      <c r="D35" s="284">
        <f ca="1"/>
        <v>0</v>
      </c>
      <c r="E35" s="284">
        <v>0</v>
      </c>
      <c r="F35" s="284">
        <v>0</v>
      </c>
      <c r="G35" s="284">
        <v>0</v>
      </c>
      <c r="H35" s="284">
        <v>0</v>
      </c>
      <c r="I35" s="283">
        <v>0</v>
      </c>
      <c r="J35" s="284">
        <v>0</v>
      </c>
      <c r="K35" s="284">
        <v>0</v>
      </c>
      <c r="M35" s="288">
        <f t="shared" ref="M35:AG35" ca="1" si="20">M23/M$26</f>
        <v>6.0134555240148546E-2</v>
      </c>
      <c r="N35" s="288">
        <f t="shared" ca="1" si="20"/>
        <v>2.7798834971272366E-2</v>
      </c>
      <c r="O35" s="288">
        <f t="shared" ca="1" si="20"/>
        <v>1.0623711745301646E-2</v>
      </c>
      <c r="P35" s="288">
        <f t="shared" ca="1" si="20"/>
        <v>3.716587554168635E-3</v>
      </c>
      <c r="Q35" s="288">
        <f t="shared" ca="1" si="20"/>
        <v>1.2575001288717643E-3</v>
      </c>
      <c r="R35" s="288">
        <f t="shared" ca="1" si="20"/>
        <v>4.2055506744678018E-4</v>
      </c>
      <c r="S35" s="288">
        <f t="shared" ca="1" si="20"/>
        <v>1.4009820858161892E-4</v>
      </c>
      <c r="T35" s="288">
        <f t="shared" ca="1" si="20"/>
        <v>4.6609281539198049E-5</v>
      </c>
      <c r="U35" s="288">
        <f t="shared" ca="1" si="20"/>
        <v>1.5499669320927308E-5</v>
      </c>
      <c r="V35" s="288">
        <f t="shared" ca="1" si="20"/>
        <v>5.1535834918970871E-6</v>
      </c>
      <c r="W35" s="288">
        <f t="shared" ca="1" si="20"/>
        <v>1.7134648640493115E-6</v>
      </c>
      <c r="X35" s="288">
        <f t="shared" ca="1" si="20"/>
        <v>5.6968411399423403E-7</v>
      </c>
      <c r="Y35" s="289">
        <f t="shared" ca="1" si="20"/>
        <v>1.894046747183656E-7</v>
      </c>
      <c r="Z35" s="289">
        <f t="shared" ca="1" si="20"/>
        <v>6.2971857873634494E-8</v>
      </c>
      <c r="AA35" s="289">
        <f t="shared" ca="1" si="20"/>
        <v>2.0936402690345708E-8</v>
      </c>
      <c r="AB35" s="289">
        <f t="shared" ca="1" si="20"/>
        <v>6.9607740078919807E-9</v>
      </c>
      <c r="AC35" s="289">
        <f t="shared" ca="1" si="20"/>
        <v>2.3142644102447005E-9</v>
      </c>
      <c r="AD35" s="289">
        <f t="shared" ca="1" si="20"/>
        <v>7.6942875004545224E-10</v>
      </c>
      <c r="AE35" s="289">
        <f t="shared" ca="1" si="20"/>
        <v>2.5581372400761355E-10</v>
      </c>
      <c r="AF35" s="289">
        <f t="shared" ca="1" si="20"/>
        <v>8.5050969605336876E-11</v>
      </c>
      <c r="AG35" s="291">
        <f t="shared" ca="1" si="20"/>
        <v>2.8277088936873212E-11</v>
      </c>
    </row>
    <row r="36" spans="1:33" x14ac:dyDescent="0.3">
      <c r="B36" s="284">
        <f ca="1"/>
        <v>0</v>
      </c>
      <c r="C36" s="284">
        <f ca="1"/>
        <v>0</v>
      </c>
      <c r="D36" s="284">
        <f ca="1"/>
        <v>0</v>
      </c>
      <c r="E36" s="284">
        <v>0</v>
      </c>
      <c r="F36" s="284">
        <v>0</v>
      </c>
      <c r="G36" s="284">
        <v>0</v>
      </c>
      <c r="H36" s="284">
        <v>0</v>
      </c>
      <c r="I36" s="284">
        <v>0</v>
      </c>
      <c r="J36" s="283">
        <v>0</v>
      </c>
      <c r="K36" s="284">
        <v>0</v>
      </c>
      <c r="M36" s="288">
        <f t="shared" ref="M36:AG36" ca="1" si="21">M24/M$26</f>
        <v>6.0134555240148546E-2</v>
      </c>
      <c r="N36" s="288">
        <f t="shared" ca="1" si="21"/>
        <v>2.7798834971272366E-2</v>
      </c>
      <c r="O36" s="288">
        <f t="shared" ca="1" si="21"/>
        <v>1.0623711745301646E-2</v>
      </c>
      <c r="P36" s="288">
        <f t="shared" ca="1" si="21"/>
        <v>3.716587554168635E-3</v>
      </c>
      <c r="Q36" s="288">
        <f t="shared" ca="1" si="21"/>
        <v>1.2575001288717643E-3</v>
      </c>
      <c r="R36" s="288">
        <f t="shared" ca="1" si="21"/>
        <v>4.2055506744678018E-4</v>
      </c>
      <c r="S36" s="288">
        <f t="shared" ca="1" si="21"/>
        <v>1.4009820858161892E-4</v>
      </c>
      <c r="T36" s="288">
        <f t="shared" ca="1" si="21"/>
        <v>4.6609281539198049E-5</v>
      </c>
      <c r="U36" s="288">
        <f t="shared" ca="1" si="21"/>
        <v>1.5499669320927308E-5</v>
      </c>
      <c r="V36" s="288">
        <f t="shared" ca="1" si="21"/>
        <v>5.1535834918970871E-6</v>
      </c>
      <c r="W36" s="288">
        <f t="shared" ca="1" si="21"/>
        <v>1.7134648640493115E-6</v>
      </c>
      <c r="X36" s="288">
        <f t="shared" ca="1" si="21"/>
        <v>5.6968411399423403E-7</v>
      </c>
      <c r="Y36" s="289">
        <f t="shared" ca="1" si="21"/>
        <v>1.894046747183656E-7</v>
      </c>
      <c r="Z36" s="289">
        <f t="shared" ca="1" si="21"/>
        <v>6.2971857873634494E-8</v>
      </c>
      <c r="AA36" s="289">
        <f t="shared" ca="1" si="21"/>
        <v>2.0936402690345708E-8</v>
      </c>
      <c r="AB36" s="289">
        <f t="shared" ca="1" si="21"/>
        <v>6.9607740078919807E-9</v>
      </c>
      <c r="AC36" s="289">
        <f t="shared" ca="1" si="21"/>
        <v>2.3142644102447005E-9</v>
      </c>
      <c r="AD36" s="289">
        <f t="shared" ca="1" si="21"/>
        <v>7.6942875004545224E-10</v>
      </c>
      <c r="AE36" s="289">
        <f t="shared" ca="1" si="21"/>
        <v>2.5581372400761355E-10</v>
      </c>
      <c r="AF36" s="289">
        <f t="shared" ca="1" si="21"/>
        <v>8.5050969605336876E-11</v>
      </c>
      <c r="AG36" s="291">
        <f t="shared" ca="1" si="21"/>
        <v>2.8277088936873212E-11</v>
      </c>
    </row>
    <row r="37" spans="1:33" x14ac:dyDescent="0.3">
      <c r="B37" s="284">
        <f ca="1"/>
        <v>0</v>
      </c>
      <c r="C37" s="284">
        <f ca="1"/>
        <v>0</v>
      </c>
      <c r="D37" s="284">
        <f ca="1"/>
        <v>0</v>
      </c>
      <c r="E37" s="284">
        <v>0</v>
      </c>
      <c r="F37" s="284">
        <v>0</v>
      </c>
      <c r="G37" s="284">
        <v>0</v>
      </c>
      <c r="H37" s="284">
        <v>0</v>
      </c>
      <c r="I37" s="284">
        <v>0</v>
      </c>
      <c r="J37" s="284">
        <v>0</v>
      </c>
      <c r="K37" s="283">
        <v>0</v>
      </c>
      <c r="M37" s="288">
        <f t="shared" ref="M37:AG37" ca="1" si="22">M25/M$26</f>
        <v>6.0134555240148546E-2</v>
      </c>
      <c r="N37" s="288">
        <f t="shared" ca="1" si="22"/>
        <v>2.7798834971272366E-2</v>
      </c>
      <c r="O37" s="288">
        <f t="shared" ca="1" si="22"/>
        <v>1.0623711745301646E-2</v>
      </c>
      <c r="P37" s="288">
        <f t="shared" ca="1" si="22"/>
        <v>3.716587554168635E-3</v>
      </c>
      <c r="Q37" s="288">
        <f t="shared" ca="1" si="22"/>
        <v>1.2575001288717643E-3</v>
      </c>
      <c r="R37" s="288">
        <f t="shared" ca="1" si="22"/>
        <v>4.2055506744678018E-4</v>
      </c>
      <c r="S37" s="288">
        <f t="shared" ca="1" si="22"/>
        <v>1.4009820858161892E-4</v>
      </c>
      <c r="T37" s="288">
        <f t="shared" ca="1" si="22"/>
        <v>4.6609281539198049E-5</v>
      </c>
      <c r="U37" s="288">
        <f t="shared" ca="1" si="22"/>
        <v>1.5499669320927308E-5</v>
      </c>
      <c r="V37" s="288">
        <f t="shared" ca="1" si="22"/>
        <v>5.1535834918970871E-6</v>
      </c>
      <c r="W37" s="288">
        <f t="shared" ca="1" si="22"/>
        <v>1.7134648640493115E-6</v>
      </c>
      <c r="X37" s="288">
        <f t="shared" ca="1" si="22"/>
        <v>5.6968411399423403E-7</v>
      </c>
      <c r="Y37" s="289">
        <f t="shared" ca="1" si="22"/>
        <v>1.894046747183656E-7</v>
      </c>
      <c r="Z37" s="289">
        <f t="shared" ca="1" si="22"/>
        <v>6.2971857873634494E-8</v>
      </c>
      <c r="AA37" s="289">
        <f t="shared" ca="1" si="22"/>
        <v>2.0936402690345708E-8</v>
      </c>
      <c r="AB37" s="289">
        <f t="shared" ca="1" si="22"/>
        <v>6.9607740078919807E-9</v>
      </c>
      <c r="AC37" s="289">
        <f t="shared" ca="1" si="22"/>
        <v>2.3142644102447005E-9</v>
      </c>
      <c r="AD37" s="289">
        <f t="shared" ca="1" si="22"/>
        <v>7.6942875004545224E-10</v>
      </c>
      <c r="AE37" s="289">
        <f t="shared" ca="1" si="22"/>
        <v>2.5581372400761355E-10</v>
      </c>
      <c r="AF37" s="289">
        <f t="shared" ca="1" si="22"/>
        <v>8.5050969605336876E-11</v>
      </c>
      <c r="AG37" s="291">
        <f t="shared" ca="1" si="22"/>
        <v>2.8277088936873212E-11</v>
      </c>
    </row>
    <row r="38" spans="1:33" x14ac:dyDescent="0.3">
      <c r="M38" s="292" t="s">
        <v>139</v>
      </c>
      <c r="N38" s="275">
        <f t="shared" ref="N38:AG38" ca="1" si="23">SUM($B15*N28,$C15*N29,$D15*N30,$E15*N31,$F15*N32,$G15*N33,$H15*N34,$I15*N35,$J15*N36,$K15*N37)</f>
        <v>2.4220863593670199</v>
      </c>
      <c r="O38" s="275">
        <f t="shared" ca="1" si="23"/>
        <v>2.7840926415776588</v>
      </c>
      <c r="P38" s="275">
        <f t="shared" ca="1" si="23"/>
        <v>2.9295204066305063</v>
      </c>
      <c r="Q38" s="275">
        <f t="shared" ca="1" si="23"/>
        <v>2.9812937461985158</v>
      </c>
      <c r="R38" s="275">
        <f t="shared" ca="1" si="23"/>
        <v>2.9989151083334349</v>
      </c>
      <c r="S38" s="275">
        <f t="shared" ca="1" si="23"/>
        <v>3.0048199590012445</v>
      </c>
      <c r="T38" s="275">
        <f t="shared" ca="1" si="23"/>
        <v>3.0067883110974551</v>
      </c>
      <c r="U38" s="275">
        <f t="shared" ca="1" si="23"/>
        <v>3.007443304919144</v>
      </c>
      <c r="V38" s="275">
        <f t="shared" ca="1" si="23"/>
        <v>3.0076611354191805</v>
      </c>
      <c r="W38" s="275">
        <f t="shared" ca="1" si="23"/>
        <v>3.0077335650097909</v>
      </c>
      <c r="X38" s="275">
        <f t="shared" ca="1" si="23"/>
        <v>3.0077576466129048</v>
      </c>
      <c r="Y38" s="275">
        <f t="shared" ca="1" si="23"/>
        <v>3.0077656531635717</v>
      </c>
      <c r="Z38" s="275">
        <f t="shared" ca="1" si="23"/>
        <v>3.0077683151290895</v>
      </c>
      <c r="AA38" s="275">
        <f t="shared" ca="1" si="23"/>
        <v>3.0077692001598484</v>
      </c>
      <c r="AB38" s="275">
        <f t="shared" ca="1" si="23"/>
        <v>3.0077694944081497</v>
      </c>
      <c r="AC38" s="275">
        <f t="shared" ca="1" si="23"/>
        <v>3.007769592237564</v>
      </c>
      <c r="AD38" s="275">
        <f t="shared" ca="1" si="23"/>
        <v>3.0077696247631325</v>
      </c>
      <c r="AE38" s="275">
        <f t="shared" ca="1" si="23"/>
        <v>3.0077696355769841</v>
      </c>
      <c r="AF38" s="275">
        <f t="shared" ca="1" si="23"/>
        <v>3.0077696391722899</v>
      </c>
      <c r="AG38" s="293">
        <f t="shared" ca="1" si="23"/>
        <v>3.0077696403676271</v>
      </c>
    </row>
    <row r="39" spans="1:33" x14ac:dyDescent="0.3">
      <c r="A39" s="294" t="s">
        <v>140</v>
      </c>
      <c r="B39" s="295">
        <f ca="1">M41</f>
        <v>2.5920509987378472E-9</v>
      </c>
      <c r="L39" s="280" t="s">
        <v>141</v>
      </c>
      <c r="M39" s="296">
        <f>Summary!H15</f>
        <v>1E-8</v>
      </c>
      <c r="N39" s="297">
        <f t="shared" ref="N39:AG39" ca="1" si="24">SUM(N40:N49)</f>
        <v>2.5402287132756485E-2</v>
      </c>
      <c r="O39" s="297">
        <f t="shared" ca="1" si="24"/>
        <v>7.1347905399779853E-3</v>
      </c>
      <c r="P39" s="297">
        <f t="shared" ca="1" si="24"/>
        <v>1.1552429621053857E-3</v>
      </c>
      <c r="Q39" s="297">
        <f t="shared" ca="1" si="24"/>
        <v>1.4643693977011183E-4</v>
      </c>
      <c r="R39" s="297">
        <f t="shared" ca="1" si="24"/>
        <v>1.6962329310405613E-5</v>
      </c>
      <c r="S39" s="297">
        <f t="shared" ca="1" si="24"/>
        <v>1.9046854117229971E-6</v>
      </c>
      <c r="T39" s="297">
        <f t="shared" ca="1" si="24"/>
        <v>2.1164681464459925E-7</v>
      </c>
      <c r="U39" s="297">
        <f t="shared" ca="1" si="24"/>
        <v>2.3435843527338677E-8</v>
      </c>
      <c r="V39" s="297">
        <f t="shared" ca="1" si="24"/>
        <v>2.5920509987378472E-9</v>
      </c>
      <c r="W39" s="297">
        <f t="shared" ca="1" si="24"/>
        <v>2.8657495035034666E-10</v>
      </c>
      <c r="X39" s="297">
        <f t="shared" ca="1" si="24"/>
        <v>3.1679400498141494E-11</v>
      </c>
      <c r="Y39" s="297">
        <f t="shared" ca="1" si="24"/>
        <v>3.5018462791673334E-12</v>
      </c>
      <c r="Z39" s="297">
        <f t="shared" ca="1" si="24"/>
        <v>3.8708916581090717E-13</v>
      </c>
      <c r="AA39" s="297">
        <f t="shared" ca="1" si="24"/>
        <v>4.2788089488208543E-14</v>
      </c>
      <c r="AB39" s="297">
        <f t="shared" ca="1" si="24"/>
        <v>4.7297054462374902E-15</v>
      </c>
      <c r="AC39" s="297">
        <f t="shared" ca="1" si="24"/>
        <v>5.2281142607640953E-16</v>
      </c>
      <c r="AD39" s="297">
        <f t="shared" ca="1" si="24"/>
        <v>5.7790434543919026E-17</v>
      </c>
      <c r="AE39" s="297">
        <f t="shared" ca="1" si="24"/>
        <v>6.3880296977667345E-18</v>
      </c>
      <c r="AF39" s="297">
        <f t="shared" ca="1" si="24"/>
        <v>7.0611889676249345E-19</v>
      </c>
      <c r="AG39" s="297">
        <f t="shared" ca="1" si="24"/>
        <v>7.8052573520971454E-20</v>
      </c>
    </row>
    <row r="40" spans="1:33" outlineLevel="1" x14ac:dyDescent="0.3">
      <c r="B40" s="298">
        <f ca="1">AG38</f>
        <v>3.0077696403676271</v>
      </c>
      <c r="C40" s="298"/>
      <c r="D40" s="298"/>
      <c r="E40" s="298"/>
      <c r="F40" s="298"/>
      <c r="G40" s="298"/>
      <c r="H40" s="298"/>
      <c r="I40" s="298"/>
      <c r="J40" s="298"/>
      <c r="K40" s="298"/>
      <c r="L40" s="280" t="s">
        <v>25</v>
      </c>
      <c r="M40" s="299">
        <f ca="1">1+MATCH(M39,N39:AG39,-1)</f>
        <v>9</v>
      </c>
      <c r="N40" s="275">
        <f t="shared" ref="N40:AG40" ca="1" si="25">(N28-M28)^2</f>
        <v>6.3341459101731576E-3</v>
      </c>
      <c r="O40" s="275">
        <f t="shared" ca="1" si="25"/>
        <v>1.958267434728904E-3</v>
      </c>
      <c r="P40" s="275">
        <f t="shared" ca="1" si="25"/>
        <v>3.1831046963679542E-4</v>
      </c>
      <c r="Q40" s="275">
        <f t="shared" ca="1" si="25"/>
        <v>4.0275302908884102E-5</v>
      </c>
      <c r="R40" s="275">
        <f t="shared" ca="1" si="25"/>
        <v>4.6649069115951679E-6</v>
      </c>
      <c r="S40" s="275">
        <f t="shared" ca="1" si="25"/>
        <v>5.2384043419038886E-7</v>
      </c>
      <c r="T40" s="275">
        <f t="shared" ca="1" si="25"/>
        <v>5.8208722572490358E-8</v>
      </c>
      <c r="U40" s="275">
        <f t="shared" ca="1" si="25"/>
        <v>6.4454981988589647E-9</v>
      </c>
      <c r="V40" s="275">
        <f t="shared" ca="1" si="25"/>
        <v>7.1288492949810368E-10</v>
      </c>
      <c r="W40" s="275">
        <f t="shared" ca="1" si="25"/>
        <v>7.8815952360868123E-11</v>
      </c>
      <c r="X40" s="275">
        <f t="shared" ca="1" si="25"/>
        <v>8.7127019252608767E-12</v>
      </c>
      <c r="Y40" s="275">
        <f t="shared" ca="1" si="25"/>
        <v>9.6310354108448058E-13</v>
      </c>
      <c r="Z40" s="275">
        <f t="shared" ca="1" si="25"/>
        <v>1.0646011177018088E-13</v>
      </c>
      <c r="AA40" s="275">
        <f t="shared" ca="1" si="25"/>
        <v>1.1767895305532776E-14</v>
      </c>
      <c r="AB40" s="275">
        <f t="shared" ca="1" si="25"/>
        <v>1.3007984091464995E-15</v>
      </c>
      <c r="AC40" s="275">
        <f t="shared" ca="1" si="25"/>
        <v>1.4378744709571431E-16</v>
      </c>
      <c r="AD40" s="275">
        <f t="shared" ca="1" si="25"/>
        <v>1.5893950599215889E-17</v>
      </c>
      <c r="AE40" s="275">
        <f t="shared" ca="1" si="25"/>
        <v>1.7568831126424448E-18</v>
      </c>
      <c r="AF40" s="275">
        <f t="shared" ca="1" si="25"/>
        <v>1.9420203594532911E-19</v>
      </c>
      <c r="AG40" s="275">
        <f t="shared" ca="1" si="25"/>
        <v>2.1466570438241897E-20</v>
      </c>
    </row>
    <row r="41" spans="1:33" outlineLevel="1" x14ac:dyDescent="0.3">
      <c r="B41" s="298"/>
      <c r="C41" s="298">
        <f ca="1">B40</f>
        <v>3.0077696403676271</v>
      </c>
      <c r="D41" s="298"/>
      <c r="E41" s="298"/>
      <c r="F41" s="298"/>
      <c r="G41" s="298"/>
      <c r="H41" s="298"/>
      <c r="I41" s="298"/>
      <c r="J41" s="298"/>
      <c r="K41" s="298"/>
      <c r="L41" s="280" t="s">
        <v>142</v>
      </c>
      <c r="M41" s="275">
        <f ca="1">INDEX(N39:AG39,0,MIN(M40,20))</f>
        <v>2.5920509987378472E-9</v>
      </c>
      <c r="N41" s="275">
        <f t="shared" ref="N41:AG41" ca="1" si="26">(N29-M29)^2</f>
        <v>2.6268956154179971E-3</v>
      </c>
      <c r="O41" s="275">
        <f t="shared" ca="1" si="26"/>
        <v>7.4884962148696118E-4</v>
      </c>
      <c r="P41" s="275">
        <f t="shared" ca="1" si="26"/>
        <v>1.1922898401488936E-4</v>
      </c>
      <c r="Q41" s="275">
        <f t="shared" ca="1" si="26"/>
        <v>1.5111165661456259E-5</v>
      </c>
      <c r="R41" s="275">
        <f t="shared" ca="1" si="26"/>
        <v>1.7510290282754664E-6</v>
      </c>
      <c r="S41" s="275">
        <f t="shared" ca="1" si="26"/>
        <v>1.9662162087458682E-7</v>
      </c>
      <c r="T41" s="275">
        <f t="shared" ca="1" si="26"/>
        <v>2.1848218474968221E-8</v>
      </c>
      <c r="U41" s="275">
        <f t="shared" ca="1" si="26"/>
        <v>2.4192731652938625E-9</v>
      </c>
      <c r="V41" s="275">
        <f t="shared" ca="1" si="26"/>
        <v>2.6757648681979779E-10</v>
      </c>
      <c r="W41" s="275">
        <f t="shared" ca="1" si="26"/>
        <v>2.9583028358143433E-11</v>
      </c>
      <c r="X41" s="275">
        <f t="shared" ca="1" si="26"/>
        <v>3.2702530275122423E-12</v>
      </c>
      <c r="Y41" s="275">
        <f t="shared" ca="1" si="26"/>
        <v>3.6149432174088812E-13</v>
      </c>
      <c r="Z41" s="275">
        <f t="shared" ca="1" si="26"/>
        <v>3.9959074265904959E-14</v>
      </c>
      <c r="AA41" s="275">
        <f t="shared" ca="1" si="26"/>
        <v>4.4169989594101908E-15</v>
      </c>
      <c r="AB41" s="275">
        <f t="shared" ca="1" si="26"/>
        <v>4.8824577751380158E-16</v>
      </c>
      <c r="AC41" s="275">
        <f t="shared" ca="1" si="26"/>
        <v>5.3969634385007671E-17</v>
      </c>
      <c r="AD41" s="275">
        <f t="shared" ca="1" si="26"/>
        <v>5.9656856172056375E-18</v>
      </c>
      <c r="AE41" s="275">
        <f t="shared" ca="1" si="26"/>
        <v>6.5943405494785762E-19</v>
      </c>
      <c r="AF41" s="275">
        <f t="shared" ca="1" si="26"/>
        <v>7.2892398352219008E-20</v>
      </c>
      <c r="AG41" s="275">
        <f t="shared" ca="1" si="26"/>
        <v>8.0573318564465476E-21</v>
      </c>
    </row>
    <row r="42" spans="1:33" outlineLevel="1" x14ac:dyDescent="0.3">
      <c r="B42" s="298"/>
      <c r="C42" s="298"/>
      <c r="D42" s="298">
        <f ca="1">C41</f>
        <v>3.0077696403676271</v>
      </c>
      <c r="E42" s="298"/>
      <c r="F42" s="298"/>
      <c r="G42" s="298"/>
      <c r="H42" s="298"/>
      <c r="I42" s="298"/>
      <c r="J42" s="298"/>
      <c r="K42" s="298"/>
      <c r="N42" s="275">
        <f t="shared" ref="N42:AG42" ca="1" si="27">(N30-M30)^2</f>
        <v>9.122053970016258E-3</v>
      </c>
      <c r="O42" s="275">
        <f t="shared" ca="1" si="27"/>
        <v>2.3627794789711689E-3</v>
      </c>
      <c r="P42" s="275">
        <f t="shared" ca="1" si="27"/>
        <v>3.837449563115569E-4</v>
      </c>
      <c r="Q42" s="275">
        <f t="shared" ca="1" si="27"/>
        <v>4.8720694442999092E-5</v>
      </c>
      <c r="R42" s="275">
        <f t="shared" ca="1" si="27"/>
        <v>5.6430541196292815E-6</v>
      </c>
      <c r="S42" s="275">
        <f t="shared" ca="1" si="27"/>
        <v>6.336310088664301E-7</v>
      </c>
      <c r="T42" s="275">
        <f t="shared" ca="1" si="27"/>
        <v>7.0408617240339013E-8</v>
      </c>
      <c r="U42" s="275">
        <f t="shared" ca="1" si="27"/>
        <v>7.7964163565875972E-9</v>
      </c>
      <c r="V42" s="275">
        <f t="shared" ca="1" si="27"/>
        <v>8.6229913854832626E-10</v>
      </c>
      <c r="W42" s="275">
        <f t="shared" ca="1" si="27"/>
        <v>9.5335056415678336E-11</v>
      </c>
      <c r="X42" s="275">
        <f t="shared" ca="1" si="27"/>
        <v>1.0538804715992495E-11</v>
      </c>
      <c r="Y42" s="275">
        <f t="shared" ca="1" si="27"/>
        <v>1.1649612527901822E-12</v>
      </c>
      <c r="Z42" s="275">
        <f t="shared" ca="1" si="27"/>
        <v>1.2877317954776823E-13</v>
      </c>
      <c r="AA42" s="275">
        <f t="shared" ca="1" si="27"/>
        <v>1.4234338776001593E-14</v>
      </c>
      <c r="AB42" s="275">
        <f t="shared" ca="1" si="27"/>
        <v>1.5734338800884265E-15</v>
      </c>
      <c r="AC42" s="275">
        <f t="shared" ca="1" si="27"/>
        <v>1.7392398450848949E-16</v>
      </c>
      <c r="AD42" s="275">
        <f t="shared" ca="1" si="27"/>
        <v>1.9225177808334777E-17</v>
      </c>
      <c r="AE42" s="275">
        <f t="shared" ca="1" si="27"/>
        <v>2.1251097653734822E-18</v>
      </c>
      <c r="AF42" s="275">
        <f t="shared" ca="1" si="27"/>
        <v>2.3490503442757939E-19</v>
      </c>
      <c r="AG42" s="275">
        <f t="shared" ca="1" si="27"/>
        <v>2.5965756543184303E-20</v>
      </c>
    </row>
    <row r="43" spans="1:33" outlineLevel="1" x14ac:dyDescent="0.3">
      <c r="A43" s="281" t="s">
        <v>143</v>
      </c>
      <c r="B43" s="298"/>
      <c r="C43" s="298"/>
      <c r="D43" s="298"/>
      <c r="E43" s="298">
        <f ca="1">D42</f>
        <v>3.0077696403676271</v>
      </c>
      <c r="F43" s="298"/>
      <c r="G43" s="298"/>
      <c r="H43" s="298"/>
      <c r="I43" s="298"/>
      <c r="J43" s="298"/>
      <c r="K43" s="298"/>
      <c r="N43" s="275">
        <f t="shared" ref="N43:AG43" ca="1" si="28">(N31-M31)^2</f>
        <v>1.0455988053070101E-3</v>
      </c>
      <c r="O43" s="275">
        <f t="shared" ca="1" si="28"/>
        <v>2.9498485782727892E-4</v>
      </c>
      <c r="P43" s="275">
        <f t="shared" ca="1" si="28"/>
        <v>4.7708364591734852E-5</v>
      </c>
      <c r="Q43" s="275">
        <f t="shared" ca="1" si="28"/>
        <v>6.0471109652531925E-6</v>
      </c>
      <c r="R43" s="275">
        <f t="shared" ca="1" si="28"/>
        <v>7.0047703584367057E-7</v>
      </c>
      <c r="S43" s="275">
        <f t="shared" ca="1" si="28"/>
        <v>7.8656049684512993E-8</v>
      </c>
      <c r="T43" s="275">
        <f t="shared" ca="1" si="28"/>
        <v>8.740179479543094E-9</v>
      </c>
      <c r="U43" s="275">
        <f t="shared" ca="1" si="28"/>
        <v>9.6780797237118007E-10</v>
      </c>
      <c r="V43" s="275">
        <f t="shared" ca="1" si="28"/>
        <v>1.0704149198165994E-10</v>
      </c>
      <c r="W43" s="275">
        <f t="shared" ca="1" si="28"/>
        <v>1.1834416173665262E-11</v>
      </c>
      <c r="X43" s="275">
        <f t="shared" ca="1" si="28"/>
        <v>1.3082344041965555E-12</v>
      </c>
      <c r="Y43" s="275">
        <f t="shared" ca="1" si="28"/>
        <v>1.4461245193596889E-13</v>
      </c>
      <c r="Z43" s="275">
        <f t="shared" ca="1" si="28"/>
        <v>1.5985257175293323E-14</v>
      </c>
      <c r="AA43" s="275">
        <f t="shared" ca="1" si="28"/>
        <v>1.76697949246628E-15</v>
      </c>
      <c r="AB43" s="275">
        <f t="shared" ca="1" si="28"/>
        <v>1.9531819706982329E-16</v>
      </c>
      <c r="AC43" s="275">
        <f t="shared" ca="1" si="28"/>
        <v>2.1590051441028289E-17</v>
      </c>
      <c r="AD43" s="275">
        <f t="shared" ca="1" si="28"/>
        <v>2.3865172170232472E-18</v>
      </c>
      <c r="AE43" s="275">
        <f t="shared" ca="1" si="28"/>
        <v>2.6380039497184971E-19</v>
      </c>
      <c r="AF43" s="275">
        <f t="shared" ca="1" si="28"/>
        <v>2.9159918291052259E-20</v>
      </c>
      <c r="AG43" s="275">
        <f t="shared" ca="1" si="28"/>
        <v>3.2232735261569521E-21</v>
      </c>
    </row>
    <row r="44" spans="1:33" outlineLevel="1" x14ac:dyDescent="0.3">
      <c r="B44" s="298"/>
      <c r="C44" s="298"/>
      <c r="D44" s="298"/>
      <c r="E44" s="298"/>
      <c r="F44" s="298">
        <f ca="1">E43</f>
        <v>3.0077696403676271</v>
      </c>
      <c r="G44" s="298"/>
      <c r="H44" s="298"/>
      <c r="I44" s="298"/>
      <c r="J44" s="298"/>
      <c r="K44" s="298"/>
      <c r="N44" s="275">
        <f t="shared" ref="N44:AG44" ca="1" si="29">(N32-M32)^2</f>
        <v>1.0455988053070101E-3</v>
      </c>
      <c r="O44" s="275">
        <f t="shared" ca="1" si="29"/>
        <v>2.9498485782727892E-4</v>
      </c>
      <c r="P44" s="275">
        <f t="shared" ca="1" si="29"/>
        <v>4.7708364591734852E-5</v>
      </c>
      <c r="Q44" s="275">
        <f t="shared" ca="1" si="29"/>
        <v>6.0471109652531925E-6</v>
      </c>
      <c r="R44" s="275">
        <f t="shared" ca="1" si="29"/>
        <v>7.0047703584367057E-7</v>
      </c>
      <c r="S44" s="275">
        <f t="shared" ca="1" si="29"/>
        <v>7.8656049684512993E-8</v>
      </c>
      <c r="T44" s="275">
        <f t="shared" ca="1" si="29"/>
        <v>8.740179479543094E-9</v>
      </c>
      <c r="U44" s="275">
        <f t="shared" ca="1" si="29"/>
        <v>9.6780797237118007E-10</v>
      </c>
      <c r="V44" s="275">
        <f t="shared" ca="1" si="29"/>
        <v>1.0704149198165994E-10</v>
      </c>
      <c r="W44" s="275">
        <f t="shared" ca="1" si="29"/>
        <v>1.1834416173665262E-11</v>
      </c>
      <c r="X44" s="275">
        <f t="shared" ca="1" si="29"/>
        <v>1.3082344041965555E-12</v>
      </c>
      <c r="Y44" s="275">
        <f t="shared" ca="1" si="29"/>
        <v>1.4461245193596889E-13</v>
      </c>
      <c r="Z44" s="275">
        <f t="shared" ca="1" si="29"/>
        <v>1.5985257175293323E-14</v>
      </c>
      <c r="AA44" s="275">
        <f t="shared" ca="1" si="29"/>
        <v>1.76697949246628E-15</v>
      </c>
      <c r="AB44" s="275">
        <f t="shared" ca="1" si="29"/>
        <v>1.9531819706982329E-16</v>
      </c>
      <c r="AC44" s="275">
        <f t="shared" ca="1" si="29"/>
        <v>2.1590051441028289E-17</v>
      </c>
      <c r="AD44" s="275">
        <f t="shared" ca="1" si="29"/>
        <v>2.3865172170232472E-18</v>
      </c>
      <c r="AE44" s="275">
        <f t="shared" ca="1" si="29"/>
        <v>2.6380039497184971E-19</v>
      </c>
      <c r="AF44" s="275">
        <f t="shared" ca="1" si="29"/>
        <v>2.9159918291052259E-20</v>
      </c>
      <c r="AG44" s="275">
        <f t="shared" ca="1" si="29"/>
        <v>3.2232735261569521E-21</v>
      </c>
    </row>
    <row r="45" spans="1:33" outlineLevel="1" x14ac:dyDescent="0.3">
      <c r="B45" s="298"/>
      <c r="C45" s="298"/>
      <c r="D45" s="298"/>
      <c r="E45" s="298"/>
      <c r="F45" s="298"/>
      <c r="G45" s="298">
        <f ca="1">F44</f>
        <v>3.0077696403676271</v>
      </c>
      <c r="H45" s="298"/>
      <c r="I45" s="298"/>
      <c r="J45" s="298"/>
      <c r="K45" s="298"/>
      <c r="N45" s="275">
        <f t="shared" ref="N45:AG45" ca="1" si="30">(N33-M33)^2</f>
        <v>1.0455988053070101E-3</v>
      </c>
      <c r="O45" s="275">
        <f t="shared" ca="1" si="30"/>
        <v>2.9498485782727892E-4</v>
      </c>
      <c r="P45" s="275">
        <f t="shared" ca="1" si="30"/>
        <v>4.7708364591734852E-5</v>
      </c>
      <c r="Q45" s="275">
        <f t="shared" ca="1" si="30"/>
        <v>6.0471109652531925E-6</v>
      </c>
      <c r="R45" s="275">
        <f t="shared" ca="1" si="30"/>
        <v>7.0047703584367057E-7</v>
      </c>
      <c r="S45" s="275">
        <f t="shared" ca="1" si="30"/>
        <v>7.8656049684512993E-8</v>
      </c>
      <c r="T45" s="275">
        <f t="shared" ca="1" si="30"/>
        <v>8.740179479543094E-9</v>
      </c>
      <c r="U45" s="275">
        <f t="shared" ca="1" si="30"/>
        <v>9.6780797237118007E-10</v>
      </c>
      <c r="V45" s="275">
        <f t="shared" ca="1" si="30"/>
        <v>1.0704149198165994E-10</v>
      </c>
      <c r="W45" s="275">
        <f t="shared" ca="1" si="30"/>
        <v>1.1834416173665262E-11</v>
      </c>
      <c r="X45" s="275">
        <f t="shared" ca="1" si="30"/>
        <v>1.3082344041965555E-12</v>
      </c>
      <c r="Y45" s="275">
        <f t="shared" ca="1" si="30"/>
        <v>1.4461245193596889E-13</v>
      </c>
      <c r="Z45" s="275">
        <f t="shared" ca="1" si="30"/>
        <v>1.5985257175293323E-14</v>
      </c>
      <c r="AA45" s="275">
        <f t="shared" ca="1" si="30"/>
        <v>1.76697949246628E-15</v>
      </c>
      <c r="AB45" s="275">
        <f t="shared" ca="1" si="30"/>
        <v>1.9531819706982329E-16</v>
      </c>
      <c r="AC45" s="275">
        <f t="shared" ca="1" si="30"/>
        <v>2.1590051441028289E-17</v>
      </c>
      <c r="AD45" s="275">
        <f t="shared" ca="1" si="30"/>
        <v>2.3865172170232472E-18</v>
      </c>
      <c r="AE45" s="275">
        <f t="shared" ca="1" si="30"/>
        <v>2.6380039497184971E-19</v>
      </c>
      <c r="AF45" s="275">
        <f t="shared" ca="1" si="30"/>
        <v>2.9159918291052259E-20</v>
      </c>
      <c r="AG45" s="275">
        <f t="shared" ca="1" si="30"/>
        <v>3.2232735261569521E-21</v>
      </c>
    </row>
    <row r="46" spans="1:33" outlineLevel="1" x14ac:dyDescent="0.3">
      <c r="B46" s="298"/>
      <c r="C46" s="298"/>
      <c r="D46" s="298"/>
      <c r="E46" s="298"/>
      <c r="F46" s="298"/>
      <c r="G46" s="298"/>
      <c r="H46" s="298">
        <f ca="1">G45</f>
        <v>3.0077696403676271</v>
      </c>
      <c r="I46" s="298"/>
      <c r="J46" s="298"/>
      <c r="K46" s="298"/>
      <c r="N46" s="275">
        <f t="shared" ref="N46:AG46" ca="1" si="31">(N34-M34)^2</f>
        <v>1.0455988053070101E-3</v>
      </c>
      <c r="O46" s="275">
        <f t="shared" ca="1" si="31"/>
        <v>2.9498485782727892E-4</v>
      </c>
      <c r="P46" s="275">
        <f t="shared" ca="1" si="31"/>
        <v>4.7708364591734852E-5</v>
      </c>
      <c r="Q46" s="275">
        <f t="shared" ca="1" si="31"/>
        <v>6.0471109652531925E-6</v>
      </c>
      <c r="R46" s="275">
        <f t="shared" ca="1" si="31"/>
        <v>7.0047703584367057E-7</v>
      </c>
      <c r="S46" s="275">
        <f t="shared" ca="1" si="31"/>
        <v>7.8656049684512993E-8</v>
      </c>
      <c r="T46" s="275">
        <f t="shared" ca="1" si="31"/>
        <v>8.740179479543094E-9</v>
      </c>
      <c r="U46" s="275">
        <f t="shared" ca="1" si="31"/>
        <v>9.6780797237118007E-10</v>
      </c>
      <c r="V46" s="275">
        <f t="shared" ca="1" si="31"/>
        <v>1.0704149198165994E-10</v>
      </c>
      <c r="W46" s="275">
        <f t="shared" ca="1" si="31"/>
        <v>1.1834416173665262E-11</v>
      </c>
      <c r="X46" s="275">
        <f t="shared" ca="1" si="31"/>
        <v>1.3082344041965555E-12</v>
      </c>
      <c r="Y46" s="275">
        <f t="shared" ca="1" si="31"/>
        <v>1.4461245193596889E-13</v>
      </c>
      <c r="Z46" s="275">
        <f t="shared" ca="1" si="31"/>
        <v>1.5985257175293323E-14</v>
      </c>
      <c r="AA46" s="275">
        <f t="shared" ca="1" si="31"/>
        <v>1.76697949246628E-15</v>
      </c>
      <c r="AB46" s="275">
        <f t="shared" ca="1" si="31"/>
        <v>1.9531819706982329E-16</v>
      </c>
      <c r="AC46" s="275">
        <f t="shared" ca="1" si="31"/>
        <v>2.1590051441028289E-17</v>
      </c>
      <c r="AD46" s="275">
        <f t="shared" ca="1" si="31"/>
        <v>2.3865172170232472E-18</v>
      </c>
      <c r="AE46" s="275">
        <f t="shared" ca="1" si="31"/>
        <v>2.6380039497184971E-19</v>
      </c>
      <c r="AF46" s="275">
        <f t="shared" ca="1" si="31"/>
        <v>2.9159918291052259E-20</v>
      </c>
      <c r="AG46" s="275">
        <f t="shared" ca="1" si="31"/>
        <v>3.2232735261569521E-21</v>
      </c>
    </row>
    <row r="47" spans="1:33" outlineLevel="1" x14ac:dyDescent="0.3">
      <c r="B47" s="298"/>
      <c r="C47" s="298"/>
      <c r="D47" s="298"/>
      <c r="E47" s="298"/>
      <c r="F47" s="298"/>
      <c r="G47" s="298"/>
      <c r="H47" s="298"/>
      <c r="I47" s="298">
        <f ca="1">H46</f>
        <v>3.0077696403676271</v>
      </c>
      <c r="J47" s="298"/>
      <c r="K47" s="298"/>
      <c r="N47" s="275">
        <f t="shared" ref="N47:AG47" ca="1" si="32">(N35-M35)^2</f>
        <v>1.0455988053070101E-3</v>
      </c>
      <c r="O47" s="275">
        <f t="shared" ca="1" si="32"/>
        <v>2.9498485782727892E-4</v>
      </c>
      <c r="P47" s="275">
        <f t="shared" ca="1" si="32"/>
        <v>4.7708364591734852E-5</v>
      </c>
      <c r="Q47" s="275">
        <f t="shared" ca="1" si="32"/>
        <v>6.0471109652531925E-6</v>
      </c>
      <c r="R47" s="275">
        <f t="shared" ca="1" si="32"/>
        <v>7.0047703584367057E-7</v>
      </c>
      <c r="S47" s="275">
        <f t="shared" ca="1" si="32"/>
        <v>7.8656049684512993E-8</v>
      </c>
      <c r="T47" s="275">
        <f t="shared" ca="1" si="32"/>
        <v>8.740179479543094E-9</v>
      </c>
      <c r="U47" s="275">
        <f t="shared" ca="1" si="32"/>
        <v>9.6780797237118007E-10</v>
      </c>
      <c r="V47" s="275">
        <f t="shared" ca="1" si="32"/>
        <v>1.0704149198165994E-10</v>
      </c>
      <c r="W47" s="275">
        <f t="shared" ca="1" si="32"/>
        <v>1.1834416173665262E-11</v>
      </c>
      <c r="X47" s="275">
        <f t="shared" ca="1" si="32"/>
        <v>1.3082344041965555E-12</v>
      </c>
      <c r="Y47" s="275">
        <f t="shared" ca="1" si="32"/>
        <v>1.4461245193596889E-13</v>
      </c>
      <c r="Z47" s="275">
        <f t="shared" ca="1" si="32"/>
        <v>1.5985257175293323E-14</v>
      </c>
      <c r="AA47" s="275">
        <f t="shared" ca="1" si="32"/>
        <v>1.76697949246628E-15</v>
      </c>
      <c r="AB47" s="275">
        <f t="shared" ca="1" si="32"/>
        <v>1.9531819706982329E-16</v>
      </c>
      <c r="AC47" s="275">
        <f t="shared" ca="1" si="32"/>
        <v>2.1590051441028289E-17</v>
      </c>
      <c r="AD47" s="275">
        <f t="shared" ca="1" si="32"/>
        <v>2.3865172170232472E-18</v>
      </c>
      <c r="AE47" s="275">
        <f t="shared" ca="1" si="32"/>
        <v>2.6380039497184971E-19</v>
      </c>
      <c r="AF47" s="275">
        <f t="shared" ca="1" si="32"/>
        <v>2.9159918291052259E-20</v>
      </c>
      <c r="AG47" s="275">
        <f t="shared" ca="1" si="32"/>
        <v>3.2232735261569521E-21</v>
      </c>
    </row>
    <row r="48" spans="1:33" outlineLevel="1" x14ac:dyDescent="0.3">
      <c r="B48" s="298"/>
      <c r="C48" s="298"/>
      <c r="D48" s="298"/>
      <c r="E48" s="298"/>
      <c r="F48" s="298"/>
      <c r="G48" s="298"/>
      <c r="H48" s="298"/>
      <c r="I48" s="298"/>
      <c r="J48" s="298">
        <f ca="1">I47</f>
        <v>3.0077696403676271</v>
      </c>
      <c r="K48" s="298"/>
      <c r="N48" s="275">
        <f t="shared" ref="N48:AG48" ca="1" si="33">(N36-M36)^2</f>
        <v>1.0455988053070101E-3</v>
      </c>
      <c r="O48" s="275">
        <f t="shared" ca="1" si="33"/>
        <v>2.9498485782727892E-4</v>
      </c>
      <c r="P48" s="275">
        <f t="shared" ca="1" si="33"/>
        <v>4.7708364591734852E-5</v>
      </c>
      <c r="Q48" s="275">
        <f t="shared" ca="1" si="33"/>
        <v>6.0471109652531925E-6</v>
      </c>
      <c r="R48" s="275">
        <f t="shared" ca="1" si="33"/>
        <v>7.0047703584367057E-7</v>
      </c>
      <c r="S48" s="275">
        <f t="shared" ca="1" si="33"/>
        <v>7.8656049684512993E-8</v>
      </c>
      <c r="T48" s="275">
        <f t="shared" ca="1" si="33"/>
        <v>8.740179479543094E-9</v>
      </c>
      <c r="U48" s="275">
        <f t="shared" ca="1" si="33"/>
        <v>9.6780797237118007E-10</v>
      </c>
      <c r="V48" s="275">
        <f t="shared" ca="1" si="33"/>
        <v>1.0704149198165994E-10</v>
      </c>
      <c r="W48" s="275">
        <f t="shared" ca="1" si="33"/>
        <v>1.1834416173665262E-11</v>
      </c>
      <c r="X48" s="275">
        <f t="shared" ca="1" si="33"/>
        <v>1.3082344041965555E-12</v>
      </c>
      <c r="Y48" s="275">
        <f t="shared" ca="1" si="33"/>
        <v>1.4461245193596889E-13</v>
      </c>
      <c r="Z48" s="275">
        <f t="shared" ca="1" si="33"/>
        <v>1.5985257175293323E-14</v>
      </c>
      <c r="AA48" s="275">
        <f t="shared" ca="1" si="33"/>
        <v>1.76697949246628E-15</v>
      </c>
      <c r="AB48" s="275">
        <f t="shared" ca="1" si="33"/>
        <v>1.9531819706982329E-16</v>
      </c>
      <c r="AC48" s="275">
        <f t="shared" ca="1" si="33"/>
        <v>2.1590051441028289E-17</v>
      </c>
      <c r="AD48" s="275">
        <f t="shared" ca="1" si="33"/>
        <v>2.3865172170232472E-18</v>
      </c>
      <c r="AE48" s="275">
        <f t="shared" ca="1" si="33"/>
        <v>2.6380039497184971E-19</v>
      </c>
      <c r="AF48" s="275">
        <f t="shared" ca="1" si="33"/>
        <v>2.9159918291052259E-20</v>
      </c>
      <c r="AG48" s="275">
        <f t="shared" ca="1" si="33"/>
        <v>3.2232735261569521E-21</v>
      </c>
    </row>
    <row r="49" spans="1:33" outlineLevel="1" x14ac:dyDescent="0.3">
      <c r="B49" s="298"/>
      <c r="C49" s="298"/>
      <c r="D49" s="298"/>
      <c r="E49" s="298"/>
      <c r="F49" s="298"/>
      <c r="G49" s="298"/>
      <c r="H49" s="298"/>
      <c r="I49" s="298"/>
      <c r="J49" s="298"/>
      <c r="K49" s="298">
        <f ca="1">J48</f>
        <v>3.0077696403676271</v>
      </c>
      <c r="N49" s="275">
        <f t="shared" ref="N49:AG49" ca="1" si="34">(N37-M37)^2</f>
        <v>1.0455988053070101E-3</v>
      </c>
      <c r="O49" s="275">
        <f t="shared" ca="1" si="34"/>
        <v>2.9498485782727892E-4</v>
      </c>
      <c r="P49" s="275">
        <f t="shared" ca="1" si="34"/>
        <v>4.7708364591734852E-5</v>
      </c>
      <c r="Q49" s="275">
        <f t="shared" ca="1" si="34"/>
        <v>6.0471109652531925E-6</v>
      </c>
      <c r="R49" s="275">
        <f t="shared" ca="1" si="34"/>
        <v>7.0047703584367057E-7</v>
      </c>
      <c r="S49" s="275">
        <f t="shared" ca="1" si="34"/>
        <v>7.8656049684512993E-8</v>
      </c>
      <c r="T49" s="275">
        <f t="shared" ca="1" si="34"/>
        <v>8.740179479543094E-9</v>
      </c>
      <c r="U49" s="275">
        <f t="shared" ca="1" si="34"/>
        <v>9.6780797237118007E-10</v>
      </c>
      <c r="V49" s="275">
        <f t="shared" ca="1" si="34"/>
        <v>1.0704149198165994E-10</v>
      </c>
      <c r="W49" s="275">
        <f t="shared" ca="1" si="34"/>
        <v>1.1834416173665262E-11</v>
      </c>
      <c r="X49" s="275">
        <f t="shared" ca="1" si="34"/>
        <v>1.3082344041965555E-12</v>
      </c>
      <c r="Y49" s="275">
        <f t="shared" ca="1" si="34"/>
        <v>1.4461245193596889E-13</v>
      </c>
      <c r="Z49" s="275">
        <f t="shared" ca="1" si="34"/>
        <v>1.5985257175293323E-14</v>
      </c>
      <c r="AA49" s="275">
        <f t="shared" ca="1" si="34"/>
        <v>1.76697949246628E-15</v>
      </c>
      <c r="AB49" s="275">
        <f t="shared" ca="1" si="34"/>
        <v>1.9531819706982329E-16</v>
      </c>
      <c r="AC49" s="275">
        <f t="shared" ca="1" si="34"/>
        <v>2.1590051441028289E-17</v>
      </c>
      <c r="AD49" s="275">
        <f t="shared" ca="1" si="34"/>
        <v>2.3865172170232472E-18</v>
      </c>
      <c r="AE49" s="275">
        <f t="shared" ca="1" si="34"/>
        <v>2.6380039497184971E-19</v>
      </c>
      <c r="AF49" s="275">
        <f t="shared" ca="1" si="34"/>
        <v>2.9159918291052259E-20</v>
      </c>
      <c r="AG49" s="275">
        <f t="shared" ca="1" si="34"/>
        <v>3.2232735261569521E-21</v>
      </c>
    </row>
    <row r="50" spans="1:33" outlineLevel="1" x14ac:dyDescent="0.3"/>
    <row r="51" spans="1:33" outlineLevel="1" x14ac:dyDescent="0.3">
      <c r="B51" s="298">
        <f t="array" ref="B51:K60" ca="1">B5:K14-B40:K49</f>
        <v>-2.0077696403676271</v>
      </c>
      <c r="C51" s="284">
        <f ca="1"/>
        <v>1.7826024579660034</v>
      </c>
      <c r="D51" s="284">
        <f ca="1"/>
        <v>0.83255320740187311</v>
      </c>
      <c r="E51" s="284">
        <v>0</v>
      </c>
      <c r="F51" s="284">
        <v>0</v>
      </c>
      <c r="G51" s="284">
        <v>0</v>
      </c>
      <c r="H51" s="284">
        <v>0</v>
      </c>
      <c r="I51" s="284">
        <v>0</v>
      </c>
      <c r="J51" s="284">
        <v>0</v>
      </c>
      <c r="K51" s="284">
        <v>0</v>
      </c>
    </row>
    <row r="52" spans="1:33" outlineLevel="1" x14ac:dyDescent="0.3">
      <c r="B52" s="284">
        <f ca="1"/>
        <v>0.56097757272309978</v>
      </c>
      <c r="C52" s="298">
        <f ca="1"/>
        <v>-2.0077696403676271</v>
      </c>
      <c r="D52" s="284">
        <f ca="1"/>
        <v>0.60836434189320576</v>
      </c>
      <c r="E52" s="284">
        <v>0</v>
      </c>
      <c r="F52" s="284">
        <v>0</v>
      </c>
      <c r="G52" s="284">
        <v>0</v>
      </c>
      <c r="H52" s="284">
        <v>0</v>
      </c>
      <c r="I52" s="284">
        <v>0</v>
      </c>
      <c r="J52" s="284">
        <v>0</v>
      </c>
      <c r="K52" s="284">
        <v>0</v>
      </c>
    </row>
    <row r="53" spans="1:33" outlineLevel="1" x14ac:dyDescent="0.3">
      <c r="B53" s="284">
        <f ca="1"/>
        <v>1.2011244339814313</v>
      </c>
      <c r="C53" s="284">
        <f ca="1"/>
        <v>1.6437518295172258</v>
      </c>
      <c r="D53" s="298">
        <f ca="1"/>
        <v>-2.0077696403676271</v>
      </c>
      <c r="E53" s="284">
        <v>0</v>
      </c>
      <c r="F53" s="284">
        <v>0</v>
      </c>
      <c r="G53" s="284">
        <v>0</v>
      </c>
      <c r="H53" s="284">
        <v>0</v>
      </c>
      <c r="I53" s="284">
        <v>0</v>
      </c>
      <c r="J53" s="284">
        <v>0</v>
      </c>
      <c r="K53" s="284">
        <v>0</v>
      </c>
    </row>
    <row r="54" spans="1:33" outlineLevel="1" x14ac:dyDescent="0.3">
      <c r="A54" s="281" t="s">
        <v>144</v>
      </c>
      <c r="B54" s="284">
        <v>0</v>
      </c>
      <c r="C54" s="284">
        <v>0</v>
      </c>
      <c r="D54" s="284">
        <v>0</v>
      </c>
      <c r="E54" s="300">
        <f ca="1"/>
        <v>-2.0077696403676271</v>
      </c>
      <c r="F54" s="284">
        <v>0</v>
      </c>
      <c r="G54" s="284">
        <v>0</v>
      </c>
      <c r="H54" s="284">
        <v>0</v>
      </c>
      <c r="I54" s="284">
        <v>0</v>
      </c>
      <c r="J54" s="284">
        <v>0</v>
      </c>
      <c r="K54" s="284">
        <v>0</v>
      </c>
    </row>
    <row r="55" spans="1:33" outlineLevel="1" x14ac:dyDescent="0.3">
      <c r="B55" s="284">
        <v>0</v>
      </c>
      <c r="C55" s="284">
        <v>0</v>
      </c>
      <c r="D55" s="284">
        <v>0</v>
      </c>
      <c r="E55" s="284">
        <v>0</v>
      </c>
      <c r="F55" s="300">
        <f ca="1"/>
        <v>-2.0077696403676271</v>
      </c>
      <c r="G55" s="284">
        <v>0</v>
      </c>
      <c r="H55" s="284">
        <v>0</v>
      </c>
      <c r="I55" s="284">
        <v>0</v>
      </c>
      <c r="J55" s="284">
        <v>0</v>
      </c>
      <c r="K55" s="284">
        <v>0</v>
      </c>
    </row>
    <row r="56" spans="1:33" outlineLevel="1" x14ac:dyDescent="0.3">
      <c r="B56" s="284">
        <v>0</v>
      </c>
      <c r="C56" s="284">
        <v>0</v>
      </c>
      <c r="D56" s="284">
        <v>0</v>
      </c>
      <c r="E56" s="284">
        <v>0</v>
      </c>
      <c r="F56" s="284">
        <v>0</v>
      </c>
      <c r="G56" s="300">
        <f ca="1"/>
        <v>-2.0077696403676271</v>
      </c>
      <c r="H56" s="284">
        <v>0</v>
      </c>
      <c r="I56" s="284">
        <v>0</v>
      </c>
      <c r="J56" s="284">
        <v>0</v>
      </c>
      <c r="K56" s="284">
        <v>0</v>
      </c>
    </row>
    <row r="57" spans="1:33" outlineLevel="1" x14ac:dyDescent="0.3">
      <c r="B57" s="284">
        <v>0</v>
      </c>
      <c r="C57" s="284">
        <v>0</v>
      </c>
      <c r="D57" s="284">
        <v>0</v>
      </c>
      <c r="E57" s="284">
        <v>0</v>
      </c>
      <c r="F57" s="284">
        <v>0</v>
      </c>
      <c r="G57" s="284">
        <v>0</v>
      </c>
      <c r="H57" s="300">
        <f ca="1"/>
        <v>-2.0077696403676271</v>
      </c>
      <c r="I57" s="284">
        <v>0</v>
      </c>
      <c r="J57" s="284">
        <v>0</v>
      </c>
      <c r="K57" s="284">
        <v>0</v>
      </c>
    </row>
    <row r="58" spans="1:33" outlineLevel="1" x14ac:dyDescent="0.3">
      <c r="B58" s="284">
        <v>0</v>
      </c>
      <c r="C58" s="284">
        <v>0</v>
      </c>
      <c r="D58" s="284">
        <v>0</v>
      </c>
      <c r="E58" s="284">
        <v>0</v>
      </c>
      <c r="F58" s="284">
        <v>0</v>
      </c>
      <c r="G58" s="284">
        <v>0</v>
      </c>
      <c r="H58" s="284">
        <v>0</v>
      </c>
      <c r="I58" s="298">
        <f ca="1"/>
        <v>-2.0077696403676271</v>
      </c>
      <c r="J58" s="284">
        <v>0</v>
      </c>
      <c r="K58" s="284">
        <v>0</v>
      </c>
    </row>
    <row r="59" spans="1:33" outlineLevel="1" x14ac:dyDescent="0.3">
      <c r="B59" s="284">
        <v>0</v>
      </c>
      <c r="C59" s="284">
        <v>0</v>
      </c>
      <c r="D59" s="284">
        <v>0</v>
      </c>
      <c r="E59" s="284">
        <v>0</v>
      </c>
      <c r="F59" s="284">
        <v>0</v>
      </c>
      <c r="G59" s="284">
        <v>0</v>
      </c>
      <c r="H59" s="284">
        <v>0</v>
      </c>
      <c r="I59" s="284">
        <v>0</v>
      </c>
      <c r="J59" s="298">
        <f ca="1"/>
        <v>-2.0077696403676271</v>
      </c>
      <c r="K59" s="284">
        <v>0</v>
      </c>
    </row>
    <row r="60" spans="1:33" outlineLevel="1" x14ac:dyDescent="0.3">
      <c r="B60" s="284">
        <v>0</v>
      </c>
      <c r="C60" s="284">
        <v>0</v>
      </c>
      <c r="D60" s="284">
        <v>0</v>
      </c>
      <c r="E60" s="284">
        <v>0</v>
      </c>
      <c r="F60" s="284">
        <v>0</v>
      </c>
      <c r="G60" s="284">
        <v>0</v>
      </c>
      <c r="H60" s="284">
        <v>0</v>
      </c>
      <c r="I60" s="284">
        <v>0</v>
      </c>
      <c r="J60" s="284">
        <v>0</v>
      </c>
      <c r="K60" s="298">
        <f ca="1"/>
        <v>-2.0077696403676271</v>
      </c>
    </row>
    <row r="61" spans="1:33" outlineLevel="1" x14ac:dyDescent="0.3"/>
    <row r="62" spans="1:33" outlineLevel="1" x14ac:dyDescent="0.3">
      <c r="A62" s="275" t="s">
        <v>145</v>
      </c>
      <c r="B62" s="298">
        <f t="array" aca="1" ref="B62:K62" ca="1">MMULT(B51:K60,AG5:AG14)</f>
        <v>1.628183809998518E-9</v>
      </c>
      <c r="C62" s="298">
        <f ca="1"/>
        <v>1.628183809998518E-9</v>
      </c>
      <c r="D62" s="298">
        <f ca="1"/>
        <v>1.628183809998518E-9</v>
      </c>
      <c r="E62" s="298">
        <f ca="1"/>
        <v>1.628183809998518E-9</v>
      </c>
      <c r="F62" s="298">
        <f ca="1"/>
        <v>1.628183809998518E-9</v>
      </c>
      <c r="G62" s="298">
        <f ca="1"/>
        <v>1.628183809998518E-9</v>
      </c>
      <c r="H62" s="298">
        <f ca="1"/>
        <v>1.628183809998518E-9</v>
      </c>
      <c r="I62" s="298">
        <f ca="1"/>
        <v>1.628183809998518E-9</v>
      </c>
      <c r="J62" s="298">
        <f ca="1"/>
        <v>1.628183809998518E-9</v>
      </c>
      <c r="K62" s="298">
        <f ca="1"/>
        <v>1.628183809998518E-9</v>
      </c>
    </row>
    <row r="63" spans="1:33" outlineLevel="1" x14ac:dyDescent="0.3"/>
    <row r="64" spans="1:33" outlineLevel="1" x14ac:dyDescent="0.3"/>
    <row r="65" outlineLevel="1" x14ac:dyDescent="0.3"/>
    <row r="66" outlineLevel="1" x14ac:dyDescent="0.3"/>
    <row r="67" outlineLevel="1" x14ac:dyDescent="0.3"/>
    <row r="68" outlineLevel="1" x14ac:dyDescent="0.3"/>
    <row r="69" outlineLevel="1" x14ac:dyDescent="0.3"/>
    <row r="70" outlineLevel="1" x14ac:dyDescent="0.3"/>
    <row r="71" outlineLevel="1" x14ac:dyDescent="0.3"/>
  </sheetData>
  <sheetProtection sheet="1" objects="1" scenarios="1"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118</vt:i4>
      </vt:variant>
    </vt:vector>
  </HeadingPairs>
  <TitlesOfParts>
    <vt:vector size="141" baseType="lpstr">
      <vt:lpstr>Summary</vt:lpstr>
      <vt:lpstr>In1</vt:lpstr>
      <vt:lpstr>In2</vt:lpstr>
      <vt:lpstr>In3</vt:lpstr>
      <vt:lpstr>In4</vt:lpstr>
      <vt:lpstr>In5</vt:lpstr>
      <vt:lpstr>In6</vt:lpstr>
      <vt:lpstr>In7</vt:lpstr>
      <vt:lpstr>In8</vt:lpstr>
      <vt:lpstr>In9</vt:lpstr>
      <vt:lpstr>In10</vt:lpstr>
      <vt:lpstr>In11</vt:lpstr>
      <vt:lpstr>In12</vt:lpstr>
      <vt:lpstr>In13</vt:lpstr>
      <vt:lpstr>In14</vt:lpstr>
      <vt:lpstr>In15</vt:lpstr>
      <vt:lpstr>In16</vt:lpstr>
      <vt:lpstr>In17</vt:lpstr>
      <vt:lpstr>In18</vt:lpstr>
      <vt:lpstr>In19</vt:lpstr>
      <vt:lpstr>In20</vt:lpstr>
      <vt:lpstr>multInp</vt:lpstr>
      <vt:lpstr>10x10</vt:lpstr>
      <vt:lpstr>check</vt:lpstr>
      <vt:lpstr>consMat</vt:lpstr>
      <vt:lpstr>EV_20</vt:lpstr>
      <vt:lpstr>m_p0</vt:lpstr>
      <vt:lpstr>m_p1</vt:lpstr>
      <vt:lpstr>m_p10</vt:lpstr>
      <vt:lpstr>m_p11</vt:lpstr>
      <vt:lpstr>m_p12</vt:lpstr>
      <vt:lpstr>m_p13</vt:lpstr>
      <vt:lpstr>m_p14</vt:lpstr>
      <vt:lpstr>m_p15</vt:lpstr>
      <vt:lpstr>m_p16</vt:lpstr>
      <vt:lpstr>m_p17</vt:lpstr>
      <vt:lpstr>m_p18</vt:lpstr>
      <vt:lpstr>m_p19</vt:lpstr>
      <vt:lpstr>m_p2</vt:lpstr>
      <vt:lpstr>m_p20</vt:lpstr>
      <vt:lpstr>m_p3</vt:lpstr>
      <vt:lpstr>m_p4</vt:lpstr>
      <vt:lpstr>m_p5</vt:lpstr>
      <vt:lpstr>m_p6</vt:lpstr>
      <vt:lpstr>m_p7</vt:lpstr>
      <vt:lpstr>m_p8</vt:lpstr>
      <vt:lpstr>m_p9</vt:lpstr>
      <vt:lpstr>m_summary</vt:lpstr>
      <vt:lpstr>Matrix1</vt:lpstr>
      <vt:lpstr>Matrix10</vt:lpstr>
      <vt:lpstr>Matrix11</vt:lpstr>
      <vt:lpstr>Matrix12</vt:lpstr>
      <vt:lpstr>Matrix13</vt:lpstr>
      <vt:lpstr>Matrix14</vt:lpstr>
      <vt:lpstr>Matrix15</vt:lpstr>
      <vt:lpstr>Matrix16</vt:lpstr>
      <vt:lpstr>Matrix17</vt:lpstr>
      <vt:lpstr>Matrix18</vt:lpstr>
      <vt:lpstr>Matrix19</vt:lpstr>
      <vt:lpstr>Matrix2</vt:lpstr>
      <vt:lpstr>Matrix20</vt:lpstr>
      <vt:lpstr>Matrix3</vt:lpstr>
      <vt:lpstr>Matrix4</vt:lpstr>
      <vt:lpstr>Matrix5</vt:lpstr>
      <vt:lpstr>Matrix6</vt:lpstr>
      <vt:lpstr>Matrix7</vt:lpstr>
      <vt:lpstr>Matrix8</vt:lpstr>
      <vt:lpstr>Matrix9</vt:lpstr>
      <vt:lpstr>p_sel</vt:lpstr>
      <vt:lpstr>'In1'!Print_Area</vt:lpstr>
      <vt:lpstr>'In10'!Print_Area</vt:lpstr>
      <vt:lpstr>'In11'!Print_Area</vt:lpstr>
      <vt:lpstr>'In12'!Print_Area</vt:lpstr>
      <vt:lpstr>'In13'!Print_Area</vt:lpstr>
      <vt:lpstr>'In14'!Print_Area</vt:lpstr>
      <vt:lpstr>'In15'!Print_Area</vt:lpstr>
      <vt:lpstr>'In16'!Print_Area</vt:lpstr>
      <vt:lpstr>'In17'!Print_Area</vt:lpstr>
      <vt:lpstr>'In18'!Print_Area</vt:lpstr>
      <vt:lpstr>'In19'!Print_Area</vt:lpstr>
      <vt:lpstr>'In2'!Print_Area</vt:lpstr>
      <vt:lpstr>'In20'!Print_Area</vt:lpstr>
      <vt:lpstr>'In3'!Print_Area</vt:lpstr>
      <vt:lpstr>'In4'!Print_Area</vt:lpstr>
      <vt:lpstr>'In5'!Print_Area</vt:lpstr>
      <vt:lpstr>'In6'!Print_Area</vt:lpstr>
      <vt:lpstr>'In7'!Print_Area</vt:lpstr>
      <vt:lpstr>'In8'!Print_Area</vt:lpstr>
      <vt:lpstr>'In9'!Print_Area</vt:lpstr>
      <vt:lpstr>multInp!Print_Area</vt:lpstr>
      <vt:lpstr>Summary!Print_Area</vt:lpstr>
      <vt:lpstr>RGGM1</vt:lpstr>
      <vt:lpstr>RGGM10</vt:lpstr>
      <vt:lpstr>RGGM11</vt:lpstr>
      <vt:lpstr>RGGM12</vt:lpstr>
      <vt:lpstr>RGGM13</vt:lpstr>
      <vt:lpstr>RGGM14</vt:lpstr>
      <vt:lpstr>RGGM15</vt:lpstr>
      <vt:lpstr>RGGM16</vt:lpstr>
      <vt:lpstr>RGGM17</vt:lpstr>
      <vt:lpstr>RGGM18</vt:lpstr>
      <vt:lpstr>RGGM19</vt:lpstr>
      <vt:lpstr>RGGM2</vt:lpstr>
      <vt:lpstr>RGGM20</vt:lpstr>
      <vt:lpstr>RGGM3</vt:lpstr>
      <vt:lpstr>RGGM4</vt:lpstr>
      <vt:lpstr>RGGM5</vt:lpstr>
      <vt:lpstr>RGGM6</vt:lpstr>
      <vt:lpstr>RGGM7</vt:lpstr>
      <vt:lpstr>RGGM8</vt:lpstr>
      <vt:lpstr>RGGM9</vt:lpstr>
      <vt:lpstr>RGMM11</vt:lpstr>
      <vt:lpstr>RGMM12</vt:lpstr>
      <vt:lpstr>RGMM13</vt:lpstr>
      <vt:lpstr>RGMM14</vt:lpstr>
      <vt:lpstr>RGMM15</vt:lpstr>
      <vt:lpstr>RGMM16</vt:lpstr>
      <vt:lpstr>RGMM17</vt:lpstr>
      <vt:lpstr>RGMM18</vt:lpstr>
      <vt:lpstr>RGMM19</vt:lpstr>
      <vt:lpstr>RGMM20</vt:lpstr>
      <vt:lpstr>multInp!w_p1</vt:lpstr>
      <vt:lpstr>multInp!w_p10</vt:lpstr>
      <vt:lpstr>multInp!w_p11</vt:lpstr>
      <vt:lpstr>multInp!w_p12</vt:lpstr>
      <vt:lpstr>multInp!w_p13</vt:lpstr>
      <vt:lpstr>multInp!w_p14</vt:lpstr>
      <vt:lpstr>multInp!w_p15</vt:lpstr>
      <vt:lpstr>multInp!w_p16</vt:lpstr>
      <vt:lpstr>multInp!w_p17</vt:lpstr>
      <vt:lpstr>multInp!w_p18</vt:lpstr>
      <vt:lpstr>multInp!w_p19</vt:lpstr>
      <vt:lpstr>multInp!w_p2</vt:lpstr>
      <vt:lpstr>multInp!w_p20</vt:lpstr>
      <vt:lpstr>multInp!w_p3</vt:lpstr>
      <vt:lpstr>multInp!w_p4</vt:lpstr>
      <vt:lpstr>multInp!w_p5</vt:lpstr>
      <vt:lpstr>multInp!w_p6</vt:lpstr>
      <vt:lpstr>multInp!w_p7</vt:lpstr>
      <vt:lpstr>multInp!w_p8</vt:lpstr>
      <vt:lpstr>multInp!w_p9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AHP</dc:title>
  <dc:subject>Analytic Hierarchy Process</dc:subject>
  <dc:creator>K Goepel</dc:creator>
  <dc:description/>
  <cp:lastModifiedBy>Lecia Cheok Yun Zhen</cp:lastModifiedBy>
  <cp:revision>8</cp:revision>
  <cp:lastPrinted>2018-09-17T03:54:00Z</cp:lastPrinted>
  <dcterms:created xsi:type="dcterms:W3CDTF">2010-03-11T05:32:55Z</dcterms:created>
  <dcterms:modified xsi:type="dcterms:W3CDTF">2024-04-13T08:24:32Z</dcterms:modified>
  <dc:language>en-SG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